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mk_firmware\keyboards\kiwikey\buildbox\_archive\"/>
    </mc:Choice>
  </mc:AlternateContent>
  <xr:revisionPtr revIDLastSave="0" documentId="13_ncr:1_{3BF00EE8-978D-45EB-BDA9-A472930D73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  <sheet name="Filtered" sheetId="2" r:id="rId2"/>
    <sheet name="Ranges" sheetId="3" r:id="rId3"/>
  </sheets>
  <definedNames>
    <definedName name="_xlnm._FilterDatabase" localSheetId="1" hidden="1">Filtered!$A$1:$A$1381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8" i="2" l="1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K105" i="1" s="1"/>
  <c r="A105" i="2" s="1"/>
  <c r="I106" i="1"/>
  <c r="I107" i="1"/>
  <c r="K107" i="1" s="1"/>
  <c r="A107" i="2" s="1"/>
  <c r="I108" i="1"/>
  <c r="I109" i="1"/>
  <c r="I110" i="1"/>
  <c r="I111" i="1"/>
  <c r="I112" i="1"/>
  <c r="I113" i="1"/>
  <c r="K113" i="1" s="1"/>
  <c r="A113" i="2" s="1"/>
  <c r="I114" i="1"/>
  <c r="I115" i="1"/>
  <c r="K115" i="1" s="1"/>
  <c r="A115" i="2" s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K694" i="1" s="1"/>
  <c r="A694" i="2" s="1"/>
  <c r="I695" i="1"/>
  <c r="K695" i="1" s="1"/>
  <c r="A695" i="2" s="1"/>
  <c r="I696" i="1"/>
  <c r="K696" i="1" s="1"/>
  <c r="A696" i="2" s="1"/>
  <c r="I697" i="1"/>
  <c r="K697" i="1" s="1"/>
  <c r="A697" i="2" s="1"/>
  <c r="I698" i="1"/>
  <c r="K698" i="1" s="1"/>
  <c r="A698" i="2" s="1"/>
  <c r="I699" i="1"/>
  <c r="K699" i="1" s="1"/>
  <c r="A699" i="2" s="1"/>
  <c r="I700" i="1"/>
  <c r="K700" i="1" s="1"/>
  <c r="A700" i="2" s="1"/>
  <c r="I701" i="1"/>
  <c r="K701" i="1" s="1"/>
  <c r="A701" i="2" s="1"/>
  <c r="I702" i="1"/>
  <c r="K702" i="1" s="1"/>
  <c r="A702" i="2" s="1"/>
  <c r="I703" i="1"/>
  <c r="K703" i="1" s="1"/>
  <c r="A703" i="2" s="1"/>
  <c r="I704" i="1"/>
  <c r="K704" i="1" s="1"/>
  <c r="A704" i="2" s="1"/>
  <c r="I705" i="1"/>
  <c r="K705" i="1" s="1"/>
  <c r="A705" i="2" s="1"/>
  <c r="I706" i="1"/>
  <c r="K706" i="1" s="1"/>
  <c r="A706" i="2" s="1"/>
  <c r="I707" i="1"/>
  <c r="K707" i="1" s="1"/>
  <c r="A707" i="2" s="1"/>
  <c r="I708" i="1"/>
  <c r="K708" i="1" s="1"/>
  <c r="A708" i="2" s="1"/>
  <c r="I709" i="1"/>
  <c r="K709" i="1" s="1"/>
  <c r="A709" i="2" s="1"/>
  <c r="I710" i="1"/>
  <c r="K710" i="1" s="1"/>
  <c r="A710" i="2" s="1"/>
  <c r="I711" i="1"/>
  <c r="K711" i="1" s="1"/>
  <c r="A711" i="2" s="1"/>
  <c r="I712" i="1"/>
  <c r="K712" i="1" s="1"/>
  <c r="A712" i="2" s="1"/>
  <c r="I713" i="1"/>
  <c r="K713" i="1" s="1"/>
  <c r="A713" i="2" s="1"/>
  <c r="I714" i="1"/>
  <c r="K714" i="1" s="1"/>
  <c r="A714" i="2" s="1"/>
  <c r="I715" i="1"/>
  <c r="K715" i="1" s="1"/>
  <c r="A715" i="2" s="1"/>
  <c r="I716" i="1"/>
  <c r="K716" i="1" s="1"/>
  <c r="A716" i="2" s="1"/>
  <c r="I717" i="1"/>
  <c r="K717" i="1" s="1"/>
  <c r="A717" i="2" s="1"/>
  <c r="I718" i="1"/>
  <c r="K718" i="1" s="1"/>
  <c r="A718" i="2" s="1"/>
  <c r="I719" i="1"/>
  <c r="K719" i="1" s="1"/>
  <c r="A719" i="2" s="1"/>
  <c r="I720" i="1"/>
  <c r="K720" i="1" s="1"/>
  <c r="A720" i="2" s="1"/>
  <c r="I721" i="1"/>
  <c r="K721" i="1" s="1"/>
  <c r="A721" i="2" s="1"/>
  <c r="I722" i="1"/>
  <c r="K722" i="1" s="1"/>
  <c r="A722" i="2" s="1"/>
  <c r="I723" i="1"/>
  <c r="K723" i="1" s="1"/>
  <c r="A723" i="2" s="1"/>
  <c r="I724" i="1"/>
  <c r="K724" i="1" s="1"/>
  <c r="A724" i="2" s="1"/>
  <c r="I725" i="1"/>
  <c r="K725" i="1" s="1"/>
  <c r="A725" i="2" s="1"/>
  <c r="I726" i="1"/>
  <c r="K726" i="1" s="1"/>
  <c r="A726" i="2" s="1"/>
  <c r="I727" i="1"/>
  <c r="K727" i="1" s="1"/>
  <c r="A727" i="2" s="1"/>
  <c r="I728" i="1"/>
  <c r="K728" i="1" s="1"/>
  <c r="A728" i="2" s="1"/>
  <c r="I729" i="1"/>
  <c r="K729" i="1" s="1"/>
  <c r="A729" i="2" s="1"/>
  <c r="I730" i="1"/>
  <c r="K730" i="1" s="1"/>
  <c r="A730" i="2" s="1"/>
  <c r="I731" i="1"/>
  <c r="K731" i="1" s="1"/>
  <c r="A731" i="2" s="1"/>
  <c r="I732" i="1"/>
  <c r="K732" i="1" s="1"/>
  <c r="A732" i="2" s="1"/>
  <c r="I733" i="1"/>
  <c r="K733" i="1" s="1"/>
  <c r="A733" i="2" s="1"/>
  <c r="I734" i="1"/>
  <c r="K734" i="1" s="1"/>
  <c r="A734" i="2" s="1"/>
  <c r="I735" i="1"/>
  <c r="K735" i="1" s="1"/>
  <c r="A735" i="2" s="1"/>
  <c r="I736" i="1"/>
  <c r="K736" i="1" s="1"/>
  <c r="A736" i="2" s="1"/>
  <c r="I737" i="1"/>
  <c r="K737" i="1" s="1"/>
  <c r="A737" i="2" s="1"/>
  <c r="K47" i="1"/>
  <c r="A47" i="2" s="1"/>
  <c r="K48" i="1"/>
  <c r="A48" i="2" s="1"/>
  <c r="K49" i="1"/>
  <c r="A49" i="2" s="1"/>
  <c r="K50" i="1"/>
  <c r="A50" i="2" s="1"/>
  <c r="K51" i="1"/>
  <c r="A51" i="2" s="1"/>
  <c r="K52" i="1"/>
  <c r="A52" i="2" s="1"/>
  <c r="K53" i="1"/>
  <c r="A53" i="2" s="1"/>
  <c r="K54" i="1"/>
  <c r="A54" i="2" s="1"/>
  <c r="K55" i="1"/>
  <c r="A55" i="2" s="1"/>
  <c r="K56" i="1"/>
  <c r="A56" i="2" s="1"/>
  <c r="K57" i="1"/>
  <c r="A57" i="2" s="1"/>
  <c r="K70" i="1"/>
  <c r="A70" i="2" s="1"/>
  <c r="K71" i="1"/>
  <c r="A71" i="2" s="1"/>
  <c r="K72" i="1"/>
  <c r="A72" i="2" s="1"/>
  <c r="K73" i="1"/>
  <c r="A73" i="2" s="1"/>
  <c r="K74" i="1"/>
  <c r="A74" i="2" s="1"/>
  <c r="K75" i="1"/>
  <c r="A75" i="2" s="1"/>
  <c r="K76" i="1"/>
  <c r="A76" i="2" s="1"/>
  <c r="K77" i="1"/>
  <c r="A77" i="2" s="1"/>
  <c r="K78" i="1"/>
  <c r="A78" i="2" s="1"/>
  <c r="K79" i="1"/>
  <c r="A79" i="2" s="1"/>
  <c r="K80" i="1"/>
  <c r="A80" i="2" s="1"/>
  <c r="K81" i="1"/>
  <c r="A81" i="2" s="1"/>
  <c r="K82" i="1"/>
  <c r="A82" i="2" s="1"/>
  <c r="K100" i="1"/>
  <c r="A100" i="2" s="1"/>
  <c r="K101" i="1"/>
  <c r="A101" i="2" s="1"/>
  <c r="K102" i="1"/>
  <c r="A102" i="2" s="1"/>
  <c r="K103" i="1"/>
  <c r="A103" i="2" s="1"/>
  <c r="K104" i="1"/>
  <c r="A104" i="2" s="1"/>
  <c r="K106" i="1"/>
  <c r="A106" i="2" s="1"/>
  <c r="K108" i="1"/>
  <c r="A108" i="2" s="1"/>
  <c r="K109" i="1"/>
  <c r="A109" i="2" s="1"/>
  <c r="K110" i="1"/>
  <c r="A110" i="2" s="1"/>
  <c r="K111" i="1"/>
  <c r="A111" i="2" s="1"/>
  <c r="K112" i="1"/>
  <c r="A112" i="2" s="1"/>
  <c r="K114" i="1"/>
  <c r="A114" i="2" s="1"/>
  <c r="K116" i="1"/>
  <c r="A116" i="2" s="1"/>
  <c r="K117" i="1"/>
  <c r="A117" i="2" s="1"/>
  <c r="K118" i="1"/>
  <c r="A118" i="2" s="1"/>
  <c r="K119" i="1"/>
  <c r="A119" i="2" s="1"/>
  <c r="K120" i="1"/>
  <c r="A120" i="2" s="1"/>
  <c r="K121" i="1"/>
  <c r="A121" i="2" s="1"/>
  <c r="K122" i="1"/>
  <c r="A122" i="2" s="1"/>
  <c r="K123" i="1"/>
  <c r="A123" i="2" s="1"/>
  <c r="K124" i="1"/>
  <c r="A124" i="2" s="1"/>
  <c r="K125" i="1"/>
  <c r="A125" i="2" s="1"/>
  <c r="K126" i="1"/>
  <c r="A126" i="2" s="1"/>
  <c r="K127" i="1"/>
  <c r="A127" i="2" s="1"/>
  <c r="K128" i="1"/>
  <c r="A128" i="2" s="1"/>
  <c r="K129" i="1"/>
  <c r="A129" i="2" s="1"/>
  <c r="K130" i="1"/>
  <c r="A130" i="2" s="1"/>
  <c r="K131" i="1"/>
  <c r="A131" i="2" s="1"/>
  <c r="K132" i="1"/>
  <c r="A132" i="2" s="1"/>
  <c r="K133" i="1"/>
  <c r="A133" i="2" s="1"/>
  <c r="K134" i="1"/>
  <c r="A134" i="2" s="1"/>
  <c r="K135" i="1"/>
  <c r="A135" i="2" s="1"/>
  <c r="K136" i="1"/>
  <c r="A136" i="2" s="1"/>
  <c r="K137" i="1"/>
  <c r="A137" i="2" s="1"/>
  <c r="K138" i="1"/>
  <c r="A138" i="2" s="1"/>
  <c r="K139" i="1"/>
  <c r="A139" i="2" s="1"/>
  <c r="K140" i="1"/>
  <c r="A140" i="2" s="1"/>
  <c r="K141" i="1"/>
  <c r="A141" i="2" s="1"/>
  <c r="K142" i="1"/>
  <c r="A142" i="2" s="1"/>
  <c r="K143" i="1"/>
  <c r="A143" i="2" s="1"/>
  <c r="K144" i="1"/>
  <c r="A144" i="2" s="1"/>
  <c r="K145" i="1"/>
  <c r="A145" i="2" s="1"/>
  <c r="K146" i="1"/>
  <c r="A146" i="2" s="1"/>
  <c r="K147" i="1"/>
  <c r="A147" i="2" s="1"/>
  <c r="K148" i="1"/>
  <c r="A148" i="2" s="1"/>
  <c r="K149" i="1"/>
  <c r="A149" i="2" s="1"/>
  <c r="K150" i="1"/>
  <c r="A150" i="2" s="1"/>
  <c r="K151" i="1"/>
  <c r="A151" i="2" s="1"/>
  <c r="K152" i="1"/>
  <c r="A152" i="2" s="1"/>
  <c r="K153" i="1"/>
  <c r="A153" i="2" s="1"/>
  <c r="K154" i="1"/>
  <c r="A154" i="2" s="1"/>
  <c r="K155" i="1"/>
  <c r="A155" i="2" s="1"/>
  <c r="K156" i="1"/>
  <c r="A156" i="2" s="1"/>
  <c r="K157" i="1"/>
  <c r="A157" i="2" s="1"/>
  <c r="K158" i="1"/>
  <c r="A158" i="2" s="1"/>
  <c r="K159" i="1"/>
  <c r="A159" i="2" s="1"/>
  <c r="K160" i="1"/>
  <c r="A160" i="2" s="1"/>
  <c r="K161" i="1"/>
  <c r="A161" i="2" s="1"/>
  <c r="K162" i="1"/>
  <c r="A162" i="2" s="1"/>
  <c r="K163" i="1"/>
  <c r="A163" i="2" s="1"/>
  <c r="K164" i="1"/>
  <c r="A164" i="2" s="1"/>
  <c r="K165" i="1"/>
  <c r="A165" i="2" s="1"/>
  <c r="K166" i="1"/>
  <c r="A166" i="2" s="1"/>
  <c r="K167" i="1"/>
  <c r="A167" i="2" s="1"/>
  <c r="K176" i="1"/>
  <c r="A176" i="2" s="1"/>
  <c r="K177" i="1"/>
  <c r="A177" i="2" s="1"/>
  <c r="K180" i="1"/>
  <c r="A180" i="2" s="1"/>
  <c r="K184" i="1"/>
  <c r="A184" i="2" s="1"/>
  <c r="K186" i="1"/>
  <c r="A186" i="2" s="1"/>
  <c r="K187" i="1"/>
  <c r="A187" i="2" s="1"/>
  <c r="K188" i="1"/>
  <c r="A188" i="2" s="1"/>
  <c r="K189" i="1"/>
  <c r="A189" i="2" s="1"/>
  <c r="K190" i="1"/>
  <c r="A190" i="2" s="1"/>
  <c r="K191" i="1"/>
  <c r="A191" i="2" s="1"/>
  <c r="K192" i="1"/>
  <c r="A192" i="2" s="1"/>
  <c r="K193" i="1"/>
  <c r="A193" i="2" s="1"/>
  <c r="K194" i="1"/>
  <c r="A194" i="2" s="1"/>
  <c r="K201" i="1"/>
  <c r="A201" i="2" s="1"/>
  <c r="K202" i="1"/>
  <c r="A202" i="2" s="1"/>
  <c r="K203" i="1"/>
  <c r="A203" i="2" s="1"/>
  <c r="K211" i="1"/>
  <c r="A211" i="2" s="1"/>
  <c r="K212" i="1"/>
  <c r="A212" i="2" s="1"/>
  <c r="K213" i="1"/>
  <c r="A213" i="2" s="1"/>
  <c r="K360" i="1"/>
  <c r="A360" i="2" s="1"/>
  <c r="K361" i="1"/>
  <c r="A361" i="2" s="1"/>
  <c r="K362" i="1"/>
  <c r="A362" i="2" s="1"/>
  <c r="K363" i="1"/>
  <c r="A363" i="2" s="1"/>
  <c r="K364" i="1"/>
  <c r="A364" i="2" s="1"/>
  <c r="K365" i="1"/>
  <c r="A365" i="2" s="1"/>
  <c r="K366" i="1"/>
  <c r="A366" i="2" s="1"/>
  <c r="K367" i="1"/>
  <c r="A367" i="2" s="1"/>
  <c r="K368" i="1"/>
  <c r="A368" i="2" s="1"/>
  <c r="K369" i="1"/>
  <c r="A369" i="2" s="1"/>
  <c r="K370" i="1"/>
  <c r="A370" i="2" s="1"/>
  <c r="K371" i="1"/>
  <c r="A371" i="2" s="1"/>
  <c r="K372" i="1"/>
  <c r="A372" i="2" s="1"/>
  <c r="K373" i="1"/>
  <c r="A373" i="2" s="1"/>
  <c r="K374" i="1"/>
  <c r="A374" i="2" s="1"/>
  <c r="K375" i="1"/>
  <c r="A375" i="2" s="1"/>
  <c r="K376" i="1"/>
  <c r="A376" i="2" s="1"/>
  <c r="K377" i="1"/>
  <c r="A377" i="2" s="1"/>
  <c r="K378" i="1"/>
  <c r="A378" i="2" s="1"/>
  <c r="K379" i="1"/>
  <c r="A379" i="2" s="1"/>
  <c r="K380" i="1"/>
  <c r="A380" i="2" s="1"/>
  <c r="K381" i="1"/>
  <c r="A381" i="2" s="1"/>
  <c r="K382" i="1"/>
  <c r="A382" i="2" s="1"/>
  <c r="K383" i="1"/>
  <c r="A383" i="2" s="1"/>
  <c r="K384" i="1"/>
  <c r="A384" i="2" s="1"/>
  <c r="K385" i="1"/>
  <c r="A385" i="2" s="1"/>
  <c r="K386" i="1"/>
  <c r="A386" i="2" s="1"/>
  <c r="K387" i="1"/>
  <c r="A387" i="2" s="1"/>
  <c r="K388" i="1"/>
  <c r="A388" i="2" s="1"/>
  <c r="K389" i="1"/>
  <c r="A389" i="2" s="1"/>
  <c r="K390" i="1"/>
  <c r="A390" i="2" s="1"/>
  <c r="K391" i="1"/>
  <c r="A391" i="2" s="1"/>
  <c r="K392" i="1"/>
  <c r="A392" i="2" s="1"/>
  <c r="K393" i="1"/>
  <c r="A393" i="2" s="1"/>
  <c r="K394" i="1"/>
  <c r="A394" i="2" s="1"/>
  <c r="K395" i="1"/>
  <c r="A395" i="2" s="1"/>
  <c r="K396" i="1"/>
  <c r="A396" i="2" s="1"/>
  <c r="K397" i="1"/>
  <c r="A397" i="2" s="1"/>
  <c r="K398" i="1"/>
  <c r="A398" i="2" s="1"/>
  <c r="K399" i="1"/>
  <c r="A399" i="2" s="1"/>
  <c r="K400" i="1"/>
  <c r="A400" i="2" s="1"/>
  <c r="K401" i="1"/>
  <c r="A401" i="2" s="1"/>
  <c r="K402" i="1"/>
  <c r="A402" i="2" s="1"/>
  <c r="K403" i="1"/>
  <c r="A403" i="2" s="1"/>
  <c r="K404" i="1"/>
  <c r="A404" i="2" s="1"/>
  <c r="K405" i="1"/>
  <c r="A405" i="2" s="1"/>
  <c r="K406" i="1"/>
  <c r="A406" i="2" s="1"/>
  <c r="K407" i="1"/>
  <c r="A407" i="2" s="1"/>
  <c r="K408" i="1"/>
  <c r="A408" i="2" s="1"/>
  <c r="K409" i="1"/>
  <c r="A409" i="2" s="1"/>
  <c r="K410" i="1"/>
  <c r="A410" i="2" s="1"/>
  <c r="K411" i="1"/>
  <c r="A411" i="2" s="1"/>
  <c r="K412" i="1"/>
  <c r="A412" i="2" s="1"/>
  <c r="K413" i="1"/>
  <c r="A413" i="2" s="1"/>
  <c r="K414" i="1"/>
  <c r="A414" i="2" s="1"/>
  <c r="K415" i="1"/>
  <c r="A415" i="2" s="1"/>
  <c r="K416" i="1"/>
  <c r="A416" i="2" s="1"/>
  <c r="K417" i="1"/>
  <c r="A417" i="2" s="1"/>
  <c r="K418" i="1"/>
  <c r="A418" i="2" s="1"/>
  <c r="K419" i="1"/>
  <c r="A419" i="2" s="1"/>
  <c r="K420" i="1"/>
  <c r="A420" i="2" s="1"/>
  <c r="K421" i="1"/>
  <c r="A421" i="2" s="1"/>
  <c r="K422" i="1"/>
  <c r="A422" i="2" s="1"/>
  <c r="K423" i="1"/>
  <c r="A423" i="2" s="1"/>
  <c r="K424" i="1"/>
  <c r="A424" i="2" s="1"/>
  <c r="K425" i="1"/>
  <c r="A425" i="2" s="1"/>
  <c r="K426" i="1"/>
  <c r="A426" i="2" s="1"/>
  <c r="K427" i="1"/>
  <c r="A427" i="2" s="1"/>
  <c r="K428" i="1"/>
  <c r="A428" i="2" s="1"/>
  <c r="K429" i="1"/>
  <c r="A429" i="2" s="1"/>
  <c r="K430" i="1"/>
  <c r="A430" i="2" s="1"/>
  <c r="K431" i="1"/>
  <c r="A431" i="2" s="1"/>
  <c r="K432" i="1"/>
  <c r="A432" i="2" s="1"/>
  <c r="K433" i="1"/>
  <c r="A433" i="2" s="1"/>
  <c r="K434" i="1"/>
  <c r="A434" i="2" s="1"/>
  <c r="K435" i="1"/>
  <c r="A435" i="2" s="1"/>
  <c r="K436" i="1"/>
  <c r="A436" i="2" s="1"/>
  <c r="K437" i="1"/>
  <c r="A437" i="2" s="1"/>
  <c r="K438" i="1"/>
  <c r="A438" i="2" s="1"/>
  <c r="K439" i="1"/>
  <c r="A439" i="2" s="1"/>
  <c r="K532" i="1"/>
  <c r="A532" i="2" s="1"/>
  <c r="K533" i="1"/>
  <c r="A533" i="2" s="1"/>
  <c r="K534" i="1"/>
  <c r="A534" i="2" s="1"/>
  <c r="K535" i="1"/>
  <c r="A535" i="2" s="1"/>
  <c r="K536" i="1"/>
  <c r="A536" i="2" s="1"/>
  <c r="K537" i="1"/>
  <c r="A537" i="2" s="1"/>
  <c r="K538" i="1"/>
  <c r="A538" i="2" s="1"/>
  <c r="K539" i="1"/>
  <c r="A539" i="2" s="1"/>
  <c r="K540" i="1"/>
  <c r="A540" i="2" s="1"/>
  <c r="K541" i="1"/>
  <c r="A541" i="2" s="1"/>
  <c r="K542" i="1"/>
  <c r="A542" i="2" s="1"/>
  <c r="K543" i="1"/>
  <c r="A543" i="2" s="1"/>
  <c r="K544" i="1"/>
  <c r="A544" i="2" s="1"/>
  <c r="K545" i="1"/>
  <c r="A545" i="2" s="1"/>
  <c r="K546" i="1"/>
  <c r="A546" i="2" s="1"/>
  <c r="K547" i="1"/>
  <c r="A547" i="2" s="1"/>
  <c r="K548" i="1"/>
  <c r="A548" i="2" s="1"/>
  <c r="K549" i="1"/>
  <c r="A549" i="2" s="1"/>
  <c r="K550" i="1"/>
  <c r="A550" i="2" s="1"/>
  <c r="K551" i="1"/>
  <c r="A551" i="2" s="1"/>
  <c r="K552" i="1"/>
  <c r="A552" i="2" s="1"/>
  <c r="K553" i="1"/>
  <c r="A553" i="2" s="1"/>
  <c r="K554" i="1"/>
  <c r="A554" i="2" s="1"/>
  <c r="K555" i="1"/>
  <c r="A555" i="2" s="1"/>
  <c r="K556" i="1"/>
  <c r="A556" i="2" s="1"/>
  <c r="K557" i="1"/>
  <c r="A557" i="2" s="1"/>
  <c r="K558" i="1"/>
  <c r="A558" i="2" s="1"/>
  <c r="K559" i="1"/>
  <c r="A559" i="2" s="1"/>
  <c r="K560" i="1"/>
  <c r="A560" i="2" s="1"/>
  <c r="K561" i="1"/>
  <c r="A561" i="2" s="1"/>
  <c r="K562" i="1"/>
  <c r="A562" i="2" s="1"/>
  <c r="K563" i="1"/>
  <c r="A563" i="2" s="1"/>
  <c r="K564" i="1"/>
  <c r="A564" i="2" s="1"/>
  <c r="K565" i="1"/>
  <c r="A565" i="2" s="1"/>
  <c r="K566" i="1"/>
  <c r="A566" i="2" s="1"/>
  <c r="K567" i="1"/>
  <c r="A567" i="2" s="1"/>
  <c r="K568" i="1"/>
  <c r="A568" i="2" s="1"/>
  <c r="K569" i="1"/>
  <c r="A569" i="2" s="1"/>
  <c r="K570" i="1"/>
  <c r="A570" i="2" s="1"/>
  <c r="K571" i="1"/>
  <c r="A571" i="2" s="1"/>
  <c r="K572" i="1"/>
  <c r="A572" i="2" s="1"/>
  <c r="K573" i="1"/>
  <c r="A573" i="2" s="1"/>
  <c r="K574" i="1"/>
  <c r="A574" i="2" s="1"/>
  <c r="K575" i="1"/>
  <c r="A575" i="2" s="1"/>
  <c r="K576" i="1"/>
  <c r="A576" i="2" s="1"/>
  <c r="K577" i="1"/>
  <c r="A577" i="2" s="1"/>
  <c r="K578" i="1"/>
  <c r="A578" i="2" s="1"/>
  <c r="K579" i="1"/>
  <c r="A579" i="2" s="1"/>
  <c r="K580" i="1"/>
  <c r="A580" i="2" s="1"/>
  <c r="K581" i="1"/>
  <c r="A581" i="2" s="1"/>
  <c r="K582" i="1"/>
  <c r="A582" i="2" s="1"/>
  <c r="K583" i="1"/>
  <c r="A583" i="2" s="1"/>
  <c r="K584" i="1"/>
  <c r="A584" i="2" s="1"/>
  <c r="K585" i="1"/>
  <c r="A585" i="2" s="1"/>
  <c r="K586" i="1"/>
  <c r="A586" i="2" s="1"/>
  <c r="K587" i="1"/>
  <c r="A587" i="2" s="1"/>
  <c r="K593" i="1"/>
  <c r="A593" i="2" s="1"/>
  <c r="K594" i="1"/>
  <c r="A594" i="2" s="1"/>
  <c r="K597" i="1"/>
  <c r="A597" i="2" s="1"/>
  <c r="K598" i="1"/>
  <c r="A598" i="2" s="1"/>
  <c r="K599" i="1"/>
  <c r="A599" i="2" s="1"/>
  <c r="K600" i="1"/>
  <c r="A600" i="2" s="1"/>
  <c r="K601" i="1"/>
  <c r="A601" i="2" s="1"/>
  <c r="K602" i="1"/>
  <c r="A602" i="2" s="1"/>
  <c r="K603" i="1"/>
  <c r="A603" i="2" s="1"/>
  <c r="K604" i="1"/>
  <c r="A604" i="2" s="1"/>
  <c r="K605" i="1"/>
  <c r="A605" i="2" s="1"/>
  <c r="K606" i="1"/>
  <c r="A606" i="2" s="1"/>
  <c r="K607" i="1"/>
  <c r="A607" i="2" s="1"/>
  <c r="K608" i="1"/>
  <c r="A608" i="2" s="1"/>
  <c r="K609" i="1"/>
  <c r="A609" i="2" s="1"/>
  <c r="K610" i="1"/>
  <c r="A610" i="2" s="1"/>
  <c r="K611" i="1"/>
  <c r="A611" i="2" s="1"/>
  <c r="K612" i="1"/>
  <c r="A612" i="2" s="1"/>
  <c r="K613" i="1"/>
  <c r="A613" i="2" s="1"/>
  <c r="K614" i="1"/>
  <c r="A614" i="2" s="1"/>
  <c r="K615" i="1"/>
  <c r="A615" i="2" s="1"/>
  <c r="K616" i="1"/>
  <c r="A616" i="2" s="1"/>
  <c r="K617" i="1"/>
  <c r="A617" i="2" s="1"/>
  <c r="K618" i="1"/>
  <c r="A618" i="2" s="1"/>
  <c r="K619" i="1"/>
  <c r="A619" i="2" s="1"/>
  <c r="K620" i="1"/>
  <c r="A620" i="2" s="1"/>
  <c r="K621" i="1"/>
  <c r="A621" i="2" s="1"/>
  <c r="K622" i="1"/>
  <c r="A622" i="2" s="1"/>
  <c r="K623" i="1"/>
  <c r="A623" i="2" s="1"/>
  <c r="K624" i="1"/>
  <c r="A624" i="2" s="1"/>
  <c r="K625" i="1"/>
  <c r="A625" i="2" s="1"/>
  <c r="K626" i="1"/>
  <c r="A626" i="2" s="1"/>
  <c r="K627" i="1"/>
  <c r="A627" i="2" s="1"/>
  <c r="K628" i="1"/>
  <c r="A628" i="2" s="1"/>
  <c r="K629" i="1"/>
  <c r="A629" i="2" s="1"/>
  <c r="K630" i="1"/>
  <c r="A630" i="2" s="1"/>
  <c r="K631" i="1"/>
  <c r="A631" i="2" s="1"/>
  <c r="K632" i="1"/>
  <c r="A632" i="2" s="1"/>
  <c r="K633" i="1"/>
  <c r="A633" i="2" s="1"/>
  <c r="K634" i="1"/>
  <c r="A634" i="2" s="1"/>
  <c r="K635" i="1"/>
  <c r="A635" i="2" s="1"/>
  <c r="K636" i="1"/>
  <c r="A636" i="2" s="1"/>
  <c r="K637" i="1"/>
  <c r="A637" i="2" s="1"/>
  <c r="K638" i="1"/>
  <c r="A638" i="2" s="1"/>
  <c r="K639" i="1"/>
  <c r="A639" i="2" s="1"/>
  <c r="K640" i="1"/>
  <c r="A640" i="2" s="1"/>
  <c r="K641" i="1"/>
  <c r="A641" i="2" s="1"/>
  <c r="K642" i="1"/>
  <c r="A642" i="2" s="1"/>
  <c r="I2" i="1"/>
  <c r="K222" i="1"/>
  <c r="A222" i="2" s="1"/>
  <c r="K223" i="1"/>
  <c r="A223" i="2" s="1"/>
  <c r="K224" i="1"/>
  <c r="A224" i="2" s="1"/>
  <c r="K225" i="1"/>
  <c r="A225" i="2" s="1"/>
  <c r="K226" i="1"/>
  <c r="A226" i="2" s="1"/>
  <c r="K227" i="1"/>
  <c r="A227" i="2" s="1"/>
  <c r="K228" i="1"/>
  <c r="A228" i="2" s="1"/>
  <c r="K229" i="1"/>
  <c r="A229" i="2" s="1"/>
  <c r="K230" i="1"/>
  <c r="A230" i="2" s="1"/>
  <c r="K231" i="1"/>
  <c r="A231" i="2" s="1"/>
  <c r="K232" i="1"/>
  <c r="A232" i="2" s="1"/>
  <c r="K233" i="1"/>
  <c r="A233" i="2" s="1"/>
  <c r="K234" i="1"/>
  <c r="A234" i="2" s="1"/>
  <c r="K235" i="1"/>
  <c r="A235" i="2" s="1"/>
  <c r="K236" i="1"/>
  <c r="A236" i="2" s="1"/>
  <c r="K237" i="1"/>
  <c r="A237" i="2" s="1"/>
  <c r="K238" i="1"/>
  <c r="A238" i="2" s="1"/>
  <c r="K239" i="1"/>
  <c r="A239" i="2" s="1"/>
  <c r="K240" i="1"/>
  <c r="A240" i="2" s="1"/>
  <c r="K241" i="1"/>
  <c r="A241" i="2" s="1"/>
  <c r="K242" i="1"/>
  <c r="A242" i="2" s="1"/>
  <c r="K243" i="1"/>
  <c r="A243" i="2" s="1"/>
  <c r="K244" i="1"/>
  <c r="A244" i="2" s="1"/>
  <c r="K245" i="1"/>
  <c r="A245" i="2" s="1"/>
  <c r="K246" i="1"/>
  <c r="A246" i="2" s="1"/>
  <c r="K247" i="1"/>
  <c r="A247" i="2" s="1"/>
  <c r="K248" i="1"/>
  <c r="A248" i="2" s="1"/>
  <c r="K249" i="1"/>
  <c r="A249" i="2" s="1"/>
  <c r="K250" i="1"/>
  <c r="A250" i="2" s="1"/>
  <c r="K251" i="1"/>
  <c r="A251" i="2" s="1"/>
  <c r="K252" i="1"/>
  <c r="A252" i="2" s="1"/>
  <c r="K253" i="1"/>
  <c r="A253" i="2" s="1"/>
  <c r="K254" i="1"/>
  <c r="A254" i="2" s="1"/>
  <c r="K255" i="1"/>
  <c r="A255" i="2" s="1"/>
  <c r="K256" i="1"/>
  <c r="A256" i="2" s="1"/>
  <c r="K257" i="1"/>
  <c r="A257" i="2" s="1"/>
  <c r="K258" i="1"/>
  <c r="A258" i="2" s="1"/>
  <c r="K259" i="1"/>
  <c r="A259" i="2" s="1"/>
  <c r="K260" i="1"/>
  <c r="A260" i="2" s="1"/>
  <c r="K261" i="1"/>
  <c r="A261" i="2" s="1"/>
  <c r="K262" i="1"/>
  <c r="A262" i="2" s="1"/>
  <c r="K263" i="1"/>
  <c r="A263" i="2" s="1"/>
  <c r="K264" i="1"/>
  <c r="A264" i="2" s="1"/>
  <c r="K265" i="1"/>
  <c r="A265" i="2" s="1"/>
  <c r="K266" i="1"/>
  <c r="A266" i="2" s="1"/>
  <c r="K267" i="1"/>
  <c r="A267" i="2" s="1"/>
  <c r="K268" i="1"/>
  <c r="A268" i="2" s="1"/>
  <c r="K269" i="1"/>
  <c r="A269" i="2" s="1"/>
  <c r="K270" i="1"/>
  <c r="A270" i="2" s="1"/>
  <c r="K271" i="1"/>
  <c r="A271" i="2" s="1"/>
  <c r="K272" i="1"/>
  <c r="A272" i="2" s="1"/>
  <c r="K273" i="1"/>
  <c r="A273" i="2" s="1"/>
  <c r="K274" i="1"/>
  <c r="A274" i="2" s="1"/>
  <c r="K275" i="1"/>
  <c r="A275" i="2" s="1"/>
  <c r="K276" i="1"/>
  <c r="A276" i="2" s="1"/>
  <c r="K277" i="1"/>
  <c r="A277" i="2" s="1"/>
  <c r="K278" i="1"/>
  <c r="A278" i="2" s="1"/>
  <c r="K279" i="1"/>
  <c r="A279" i="2" s="1"/>
  <c r="K280" i="1"/>
  <c r="A280" i="2" s="1"/>
  <c r="K281" i="1"/>
  <c r="A281" i="2" s="1"/>
  <c r="K282" i="1"/>
  <c r="A282" i="2" s="1"/>
  <c r="K283" i="1"/>
  <c r="A283" i="2" s="1"/>
  <c r="K284" i="1"/>
  <c r="A284" i="2" s="1"/>
  <c r="K285" i="1"/>
  <c r="A285" i="2" s="1"/>
  <c r="K286" i="1"/>
  <c r="A286" i="2" s="1"/>
  <c r="K287" i="1"/>
  <c r="A287" i="2" s="1"/>
  <c r="K288" i="1"/>
  <c r="A288" i="2" s="1"/>
  <c r="K289" i="1"/>
  <c r="A289" i="2" s="1"/>
  <c r="K290" i="1"/>
  <c r="A290" i="2" s="1"/>
  <c r="K291" i="1"/>
  <c r="A291" i="2" s="1"/>
  <c r="K292" i="1"/>
  <c r="A292" i="2" s="1"/>
  <c r="K293" i="1"/>
  <c r="A293" i="2" s="1"/>
  <c r="K294" i="1"/>
  <c r="A294" i="2" s="1"/>
  <c r="K295" i="1"/>
  <c r="A295" i="2" s="1"/>
  <c r="K296" i="1"/>
  <c r="A296" i="2" s="1"/>
  <c r="K297" i="1"/>
  <c r="A297" i="2" s="1"/>
  <c r="K298" i="1"/>
  <c r="A298" i="2" s="1"/>
  <c r="K299" i="1"/>
  <c r="A299" i="2" s="1"/>
  <c r="K300" i="1"/>
  <c r="A300" i="2" s="1"/>
  <c r="K301" i="1"/>
  <c r="A301" i="2" s="1"/>
  <c r="K302" i="1"/>
  <c r="A302" i="2" s="1"/>
  <c r="K303" i="1"/>
  <c r="A303" i="2" s="1"/>
  <c r="K304" i="1"/>
  <c r="A304" i="2" s="1"/>
  <c r="K305" i="1"/>
  <c r="A305" i="2" s="1"/>
  <c r="K306" i="1"/>
  <c r="A306" i="2" s="1"/>
  <c r="K307" i="1"/>
  <c r="A307" i="2" s="1"/>
  <c r="K308" i="1"/>
  <c r="A308" i="2" s="1"/>
  <c r="K309" i="1"/>
  <c r="A309" i="2" s="1"/>
  <c r="K310" i="1"/>
  <c r="A310" i="2" s="1"/>
  <c r="K311" i="1"/>
  <c r="A311" i="2" s="1"/>
  <c r="K312" i="1"/>
  <c r="A312" i="2" s="1"/>
  <c r="K313" i="1"/>
  <c r="A313" i="2" s="1"/>
  <c r="K314" i="1"/>
  <c r="A314" i="2" s="1"/>
  <c r="K315" i="1"/>
  <c r="A315" i="2" s="1"/>
  <c r="K316" i="1"/>
  <c r="A316" i="2" s="1"/>
  <c r="K317" i="1"/>
  <c r="A317" i="2" s="1"/>
  <c r="K318" i="1"/>
  <c r="A318" i="2" s="1"/>
  <c r="K319" i="1"/>
  <c r="A319" i="2" s="1"/>
  <c r="K320" i="1"/>
  <c r="A320" i="2" s="1"/>
  <c r="K321" i="1"/>
  <c r="A321" i="2" s="1"/>
  <c r="K322" i="1"/>
  <c r="A322" i="2" s="1"/>
  <c r="K323" i="1"/>
  <c r="A323" i="2" s="1"/>
  <c r="K324" i="1"/>
  <c r="A324" i="2" s="1"/>
  <c r="K325" i="1"/>
  <c r="A325" i="2" s="1"/>
  <c r="K326" i="1"/>
  <c r="A326" i="2" s="1"/>
  <c r="K327" i="1"/>
  <c r="A327" i="2" s="1"/>
  <c r="K328" i="1"/>
  <c r="A328" i="2" s="1"/>
  <c r="K329" i="1"/>
  <c r="A329" i="2" s="1"/>
  <c r="K330" i="1"/>
  <c r="A330" i="2" s="1"/>
  <c r="K331" i="1"/>
  <c r="A331" i="2" s="1"/>
  <c r="K332" i="1"/>
  <c r="A332" i="2" s="1"/>
  <c r="K333" i="1"/>
  <c r="A333" i="2" s="1"/>
  <c r="K334" i="1"/>
  <c r="A334" i="2" s="1"/>
  <c r="K335" i="1"/>
  <c r="A335" i="2" s="1"/>
  <c r="K336" i="1"/>
  <c r="A336" i="2" s="1"/>
  <c r="K337" i="1"/>
  <c r="A337" i="2" s="1"/>
  <c r="K338" i="1"/>
  <c r="A338" i="2" s="1"/>
  <c r="K339" i="1"/>
  <c r="A339" i="2" s="1"/>
  <c r="K340" i="1"/>
  <c r="A340" i="2" s="1"/>
  <c r="K341" i="1"/>
  <c r="A341" i="2" s="1"/>
  <c r="K342" i="1"/>
  <c r="A342" i="2" s="1"/>
  <c r="K343" i="1"/>
  <c r="A343" i="2" s="1"/>
  <c r="K344" i="1"/>
  <c r="A344" i="2" s="1"/>
  <c r="K345" i="1"/>
  <c r="A345" i="2" s="1"/>
  <c r="K346" i="1"/>
  <c r="A346" i="2" s="1"/>
  <c r="K347" i="1"/>
  <c r="A347" i="2" s="1"/>
  <c r="K348" i="1"/>
  <c r="A348" i="2" s="1"/>
  <c r="K349" i="1"/>
  <c r="A349" i="2" s="1"/>
  <c r="K350" i="1"/>
  <c r="A350" i="2" s="1"/>
  <c r="K351" i="1"/>
  <c r="A351" i="2" s="1"/>
  <c r="K352" i="1"/>
  <c r="A352" i="2" s="1"/>
  <c r="K353" i="1"/>
  <c r="A353" i="2" s="1"/>
  <c r="K354" i="1"/>
  <c r="A354" i="2" s="1"/>
  <c r="K355" i="1"/>
  <c r="A355" i="2" s="1"/>
  <c r="K356" i="1"/>
  <c r="A356" i="2" s="1"/>
  <c r="K357" i="1"/>
  <c r="A357" i="2" s="1"/>
  <c r="K358" i="1"/>
  <c r="A358" i="2" s="1"/>
  <c r="K359" i="1"/>
  <c r="A359" i="2" s="1"/>
  <c r="K440" i="1"/>
  <c r="A440" i="2" s="1"/>
  <c r="K441" i="1"/>
  <c r="A441" i="2" s="1"/>
  <c r="K442" i="1"/>
  <c r="A442" i="2" s="1"/>
  <c r="K443" i="1"/>
  <c r="A443" i="2" s="1"/>
  <c r="K444" i="1"/>
  <c r="A444" i="2" s="1"/>
  <c r="K445" i="1"/>
  <c r="A445" i="2" s="1"/>
  <c r="K446" i="1"/>
  <c r="A446" i="2" s="1"/>
  <c r="K447" i="1"/>
  <c r="A447" i="2" s="1"/>
  <c r="K448" i="1"/>
  <c r="A448" i="2" s="1"/>
  <c r="K449" i="1"/>
  <c r="A449" i="2" s="1"/>
  <c r="K450" i="1"/>
  <c r="A450" i="2" s="1"/>
  <c r="K451" i="1"/>
  <c r="A451" i="2" s="1"/>
  <c r="K452" i="1"/>
  <c r="A452" i="2" s="1"/>
  <c r="K453" i="1"/>
  <c r="A453" i="2" s="1"/>
  <c r="K454" i="1"/>
  <c r="A454" i="2" s="1"/>
  <c r="K455" i="1"/>
  <c r="A455" i="2" s="1"/>
  <c r="K456" i="1"/>
  <c r="A456" i="2" s="1"/>
  <c r="K457" i="1"/>
  <c r="A457" i="2" s="1"/>
  <c r="K458" i="1"/>
  <c r="A458" i="2" s="1"/>
  <c r="K459" i="1"/>
  <c r="A459" i="2" s="1"/>
  <c r="K460" i="1"/>
  <c r="A460" i="2" s="1"/>
  <c r="K461" i="1"/>
  <c r="A461" i="2" s="1"/>
  <c r="K462" i="1"/>
  <c r="A462" i="2" s="1"/>
  <c r="K463" i="1"/>
  <c r="A463" i="2" s="1"/>
  <c r="K464" i="1"/>
  <c r="A464" i="2" s="1"/>
  <c r="K465" i="1"/>
  <c r="A465" i="2" s="1"/>
  <c r="K466" i="1"/>
  <c r="A466" i="2" s="1"/>
  <c r="K467" i="1"/>
  <c r="A467" i="2" s="1"/>
  <c r="K468" i="1"/>
  <c r="A468" i="2" s="1"/>
  <c r="K469" i="1"/>
  <c r="A469" i="2" s="1"/>
  <c r="K470" i="1"/>
  <c r="A470" i="2" s="1"/>
  <c r="K471" i="1"/>
  <c r="A471" i="2" s="1"/>
  <c r="K472" i="1"/>
  <c r="A472" i="2" s="1"/>
  <c r="K473" i="1"/>
  <c r="A473" i="2" s="1"/>
  <c r="K474" i="1"/>
  <c r="A474" i="2" s="1"/>
  <c r="K475" i="1"/>
  <c r="A475" i="2" s="1"/>
  <c r="K476" i="1"/>
  <c r="A476" i="2" s="1"/>
  <c r="K477" i="1"/>
  <c r="A477" i="2" s="1"/>
  <c r="K478" i="1"/>
  <c r="A478" i="2" s="1"/>
  <c r="K479" i="1"/>
  <c r="A479" i="2" s="1"/>
  <c r="K480" i="1"/>
  <c r="A480" i="2" s="1"/>
  <c r="K481" i="1"/>
  <c r="A481" i="2" s="1"/>
  <c r="K482" i="1"/>
  <c r="A482" i="2" s="1"/>
  <c r="K483" i="1"/>
  <c r="A483" i="2" s="1"/>
  <c r="K484" i="1"/>
  <c r="A484" i="2" s="1"/>
  <c r="K485" i="1"/>
  <c r="A485" i="2" s="1"/>
  <c r="K486" i="1"/>
  <c r="A486" i="2" s="1"/>
  <c r="K487" i="1"/>
  <c r="A487" i="2" s="1"/>
  <c r="K488" i="1"/>
  <c r="A488" i="2" s="1"/>
  <c r="K489" i="1"/>
  <c r="A489" i="2" s="1"/>
  <c r="K490" i="1"/>
  <c r="A490" i="2" s="1"/>
  <c r="K491" i="1"/>
  <c r="A491" i="2" s="1"/>
  <c r="K492" i="1"/>
  <c r="A492" i="2" s="1"/>
  <c r="K493" i="1"/>
  <c r="A493" i="2" s="1"/>
  <c r="K494" i="1"/>
  <c r="A494" i="2" s="1"/>
  <c r="K495" i="1"/>
  <c r="A495" i="2" s="1"/>
  <c r="K496" i="1"/>
  <c r="A496" i="2" s="1"/>
  <c r="K497" i="1"/>
  <c r="A497" i="2" s="1"/>
  <c r="K498" i="1"/>
  <c r="A498" i="2" s="1"/>
  <c r="K499" i="1"/>
  <c r="A499" i="2" s="1"/>
  <c r="K643" i="1"/>
  <c r="A643" i="2" s="1"/>
  <c r="K644" i="1"/>
  <c r="A644" i="2" s="1"/>
  <c r="K645" i="1"/>
  <c r="A645" i="2" s="1"/>
  <c r="K646" i="1"/>
  <c r="A646" i="2" s="1"/>
  <c r="K647" i="1"/>
  <c r="A647" i="2" s="1"/>
  <c r="K648" i="1"/>
  <c r="A648" i="2" s="1"/>
  <c r="K649" i="1"/>
  <c r="A649" i="2" s="1"/>
  <c r="K650" i="1"/>
  <c r="A650" i="2" s="1"/>
  <c r="K651" i="1"/>
  <c r="A651" i="2" s="1"/>
  <c r="K652" i="1"/>
  <c r="A652" i="2" s="1"/>
  <c r="K653" i="1"/>
  <c r="A653" i="2" s="1"/>
  <c r="K654" i="1"/>
  <c r="A654" i="2" s="1"/>
  <c r="K655" i="1"/>
  <c r="A655" i="2" s="1"/>
  <c r="K656" i="1"/>
  <c r="A656" i="2" s="1"/>
  <c r="K657" i="1"/>
  <c r="A657" i="2" s="1"/>
  <c r="K658" i="1"/>
  <c r="A658" i="2" s="1"/>
  <c r="K659" i="1"/>
  <c r="A659" i="2" s="1"/>
  <c r="K660" i="1"/>
  <c r="A660" i="2" s="1"/>
  <c r="K661" i="1"/>
  <c r="A661" i="2" s="1"/>
  <c r="K662" i="1"/>
  <c r="A662" i="2" s="1"/>
  <c r="K663" i="1"/>
  <c r="A663" i="2" s="1"/>
  <c r="K664" i="1"/>
  <c r="A664" i="2" s="1"/>
  <c r="K665" i="1"/>
  <c r="A665" i="2" s="1"/>
  <c r="K666" i="1"/>
  <c r="A666" i="2" s="1"/>
  <c r="K667" i="1"/>
  <c r="A667" i="2" s="1"/>
  <c r="K668" i="1"/>
  <c r="A668" i="2" s="1"/>
  <c r="K669" i="1"/>
  <c r="A669" i="2" s="1"/>
  <c r="K670" i="1"/>
  <c r="A670" i="2" s="1"/>
  <c r="K671" i="1"/>
  <c r="A671" i="2" s="1"/>
  <c r="K672" i="1"/>
  <c r="A672" i="2" s="1"/>
  <c r="K673" i="1"/>
  <c r="A673" i="2" s="1"/>
  <c r="K674" i="1"/>
  <c r="A674" i="2" s="1"/>
  <c r="K675" i="1"/>
  <c r="A675" i="2" s="1"/>
  <c r="K676" i="1"/>
  <c r="A676" i="2" s="1"/>
  <c r="K677" i="1"/>
  <c r="A677" i="2" s="1"/>
  <c r="K678" i="1"/>
  <c r="A678" i="2" s="1"/>
  <c r="K679" i="1"/>
  <c r="A679" i="2" s="1"/>
  <c r="K680" i="1"/>
  <c r="A680" i="2" s="1"/>
  <c r="K681" i="1"/>
  <c r="A681" i="2" s="1"/>
  <c r="K682" i="1"/>
  <c r="A682" i="2" s="1"/>
  <c r="K683" i="1"/>
  <c r="A683" i="2" s="1"/>
  <c r="K684" i="1"/>
  <c r="A684" i="2" s="1"/>
  <c r="K685" i="1"/>
  <c r="A685" i="2" s="1"/>
  <c r="K686" i="1"/>
  <c r="A686" i="2" s="1"/>
  <c r="K687" i="1"/>
  <c r="A687" i="2" s="1"/>
  <c r="K688" i="1"/>
  <c r="A688" i="2" s="1"/>
  <c r="K689" i="1"/>
  <c r="A689" i="2" s="1"/>
  <c r="K690" i="1"/>
  <c r="A690" i="2" s="1"/>
  <c r="K691" i="1"/>
  <c r="A691" i="2" s="1"/>
  <c r="K692" i="1"/>
  <c r="A692" i="2" s="1"/>
  <c r="K693" i="1"/>
  <c r="A693" i="2" s="1"/>
  <c r="E3" i="1"/>
  <c r="K3" i="1" s="1"/>
  <c r="A3" i="2" s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K30" i="1" s="1"/>
  <c r="A30" i="2" s="1"/>
  <c r="G30" i="1"/>
  <c r="E31" i="1"/>
  <c r="K31" i="1" s="1"/>
  <c r="A31" i="2" s="1"/>
  <c r="G31" i="1"/>
  <c r="E32" i="1"/>
  <c r="K32" i="1" s="1"/>
  <c r="A32" i="2" s="1"/>
  <c r="G32" i="1"/>
  <c r="E33" i="1"/>
  <c r="K33" i="1" s="1"/>
  <c r="A33" i="2" s="1"/>
  <c r="G33" i="1"/>
  <c r="E34" i="1"/>
  <c r="K34" i="1" s="1"/>
  <c r="A34" i="2" s="1"/>
  <c r="G34" i="1"/>
  <c r="E35" i="1"/>
  <c r="K35" i="1" s="1"/>
  <c r="A35" i="2" s="1"/>
  <c r="G35" i="1"/>
  <c r="E36" i="1"/>
  <c r="K36" i="1" s="1"/>
  <c r="A36" i="2" s="1"/>
  <c r="G36" i="1"/>
  <c r="E37" i="1"/>
  <c r="K37" i="1" s="1"/>
  <c r="A37" i="2" s="1"/>
  <c r="G37" i="1"/>
  <c r="E38" i="1"/>
  <c r="K38" i="1" s="1"/>
  <c r="A38" i="2" s="1"/>
  <c r="G38" i="1"/>
  <c r="E39" i="1"/>
  <c r="K39" i="1" s="1"/>
  <c r="A39" i="2" s="1"/>
  <c r="G39" i="1"/>
  <c r="E40" i="1"/>
  <c r="K40" i="1" s="1"/>
  <c r="A40" i="2" s="1"/>
  <c r="G40" i="1"/>
  <c r="E41" i="1"/>
  <c r="K41" i="1" s="1"/>
  <c r="A41" i="2" s="1"/>
  <c r="G41" i="1"/>
  <c r="E42" i="1"/>
  <c r="K42" i="1" s="1"/>
  <c r="A42" i="2" s="1"/>
  <c r="G42" i="1"/>
  <c r="E43" i="1"/>
  <c r="K43" i="1" s="1"/>
  <c r="A43" i="2" s="1"/>
  <c r="G43" i="1"/>
  <c r="E44" i="1"/>
  <c r="K44" i="1" s="1"/>
  <c r="A44" i="2" s="1"/>
  <c r="G44" i="1"/>
  <c r="E45" i="1"/>
  <c r="K45" i="1" s="1"/>
  <c r="A45" i="2" s="1"/>
  <c r="G45" i="1"/>
  <c r="E46" i="1"/>
  <c r="K46" i="1" s="1"/>
  <c r="A46" i="2" s="1"/>
  <c r="G46" i="1"/>
  <c r="E47" i="1"/>
  <c r="E48" i="1"/>
  <c r="E49" i="1"/>
  <c r="E50" i="1"/>
  <c r="E51" i="1"/>
  <c r="E52" i="1"/>
  <c r="E53" i="1"/>
  <c r="E54" i="1"/>
  <c r="E55" i="1"/>
  <c r="E56" i="1"/>
  <c r="E57" i="1"/>
  <c r="E58" i="1"/>
  <c r="K58" i="1" s="1"/>
  <c r="A58" i="2" s="1"/>
  <c r="E59" i="1"/>
  <c r="K59" i="1" s="1"/>
  <c r="A59" i="2" s="1"/>
  <c r="E60" i="1"/>
  <c r="K60" i="1" s="1"/>
  <c r="A60" i="2" s="1"/>
  <c r="E61" i="1"/>
  <c r="K61" i="1" s="1"/>
  <c r="A61" i="2" s="1"/>
  <c r="E62" i="1"/>
  <c r="K62" i="1" s="1"/>
  <c r="A62" i="2" s="1"/>
  <c r="E63" i="1"/>
  <c r="K63" i="1" s="1"/>
  <c r="A63" i="2" s="1"/>
  <c r="E64" i="1"/>
  <c r="K64" i="1" s="1"/>
  <c r="A64" i="2" s="1"/>
  <c r="E65" i="1"/>
  <c r="K65" i="1" s="1"/>
  <c r="A65" i="2" s="1"/>
  <c r="E66" i="1"/>
  <c r="K66" i="1" s="1"/>
  <c r="A66" i="2" s="1"/>
  <c r="E67" i="1"/>
  <c r="K67" i="1" s="1"/>
  <c r="A67" i="2" s="1"/>
  <c r="E68" i="1"/>
  <c r="K68" i="1" s="1"/>
  <c r="A68" i="2" s="1"/>
  <c r="E69" i="1"/>
  <c r="K69" i="1" s="1"/>
  <c r="A69" i="2" s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K84" i="1" s="1"/>
  <c r="A84" i="2" s="1"/>
  <c r="E85" i="1"/>
  <c r="K85" i="1" s="1"/>
  <c r="A85" i="2" s="1"/>
  <c r="E86" i="1"/>
  <c r="K86" i="1" s="1"/>
  <c r="A86" i="2" s="1"/>
  <c r="E87" i="1"/>
  <c r="K87" i="1" s="1"/>
  <c r="A87" i="2" s="1"/>
  <c r="E88" i="1"/>
  <c r="K88" i="1" s="1"/>
  <c r="A88" i="2" s="1"/>
  <c r="E89" i="1"/>
  <c r="K89" i="1" s="1"/>
  <c r="A89" i="2" s="1"/>
  <c r="E90" i="1"/>
  <c r="K90" i="1" s="1"/>
  <c r="A90" i="2" s="1"/>
  <c r="E91" i="1"/>
  <c r="K91" i="1" s="1"/>
  <c r="A91" i="2" s="1"/>
  <c r="E92" i="1"/>
  <c r="K92" i="1" s="1"/>
  <c r="A92" i="2" s="1"/>
  <c r="E93" i="1"/>
  <c r="K93" i="1" s="1"/>
  <c r="A93" i="2" s="1"/>
  <c r="E94" i="1"/>
  <c r="K94" i="1" s="1"/>
  <c r="A94" i="2" s="1"/>
  <c r="E95" i="1"/>
  <c r="K95" i="1" s="1"/>
  <c r="A95" i="2" s="1"/>
  <c r="E96" i="1"/>
  <c r="K96" i="1" s="1"/>
  <c r="A96" i="2" s="1"/>
  <c r="E97" i="1"/>
  <c r="K97" i="1" s="1"/>
  <c r="A97" i="2" s="1"/>
  <c r="E98" i="1"/>
  <c r="K98" i="1" s="1"/>
  <c r="A98" i="2" s="1"/>
  <c r="E99" i="1"/>
  <c r="K99" i="1" s="1"/>
  <c r="A99" i="2" s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K168" i="1" s="1"/>
  <c r="A168" i="2" s="1"/>
  <c r="E169" i="1"/>
  <c r="K169" i="1" s="1"/>
  <c r="A169" i="2" s="1"/>
  <c r="E170" i="1"/>
  <c r="K170" i="1" s="1"/>
  <c r="A170" i="2" s="1"/>
  <c r="E171" i="1"/>
  <c r="K171" i="1" s="1"/>
  <c r="A171" i="2" s="1"/>
  <c r="E172" i="1"/>
  <c r="K172" i="1" s="1"/>
  <c r="A172" i="2" s="1"/>
  <c r="E173" i="1"/>
  <c r="E174" i="1"/>
  <c r="E175" i="1"/>
  <c r="K175" i="1" s="1"/>
  <c r="A175" i="2" s="1"/>
  <c r="E176" i="1"/>
  <c r="E177" i="1"/>
  <c r="E178" i="1"/>
  <c r="K178" i="1" s="1"/>
  <c r="A178" i="2" s="1"/>
  <c r="E179" i="1"/>
  <c r="K179" i="1" s="1"/>
  <c r="A179" i="2" s="1"/>
  <c r="E180" i="1"/>
  <c r="E181" i="1"/>
  <c r="K181" i="1" s="1"/>
  <c r="A181" i="2" s="1"/>
  <c r="E182" i="1"/>
  <c r="K182" i="1" s="1"/>
  <c r="A182" i="2" s="1"/>
  <c r="E183" i="1"/>
  <c r="K183" i="1" s="1"/>
  <c r="A183" i="2" s="1"/>
  <c r="E184" i="1"/>
  <c r="E185" i="1"/>
  <c r="K185" i="1" s="1"/>
  <c r="A185" i="2" s="1"/>
  <c r="E186" i="1"/>
  <c r="E187" i="1"/>
  <c r="E188" i="1"/>
  <c r="E189" i="1"/>
  <c r="E190" i="1"/>
  <c r="E191" i="1"/>
  <c r="E192" i="1"/>
  <c r="E193" i="1"/>
  <c r="E194" i="1"/>
  <c r="E195" i="1"/>
  <c r="K195" i="1" s="1"/>
  <c r="A195" i="2" s="1"/>
  <c r="E196" i="1"/>
  <c r="E197" i="1"/>
  <c r="E198" i="1"/>
  <c r="E199" i="1"/>
  <c r="K199" i="1" s="1"/>
  <c r="A199" i="2" s="1"/>
  <c r="E200" i="1"/>
  <c r="K200" i="1" s="1"/>
  <c r="A200" i="2" s="1"/>
  <c r="E201" i="1"/>
  <c r="E202" i="1"/>
  <c r="E203" i="1"/>
  <c r="E204" i="1"/>
  <c r="K204" i="1" s="1"/>
  <c r="A204" i="2" s="1"/>
  <c r="E205" i="1"/>
  <c r="E206" i="1"/>
  <c r="K206" i="1" s="1"/>
  <c r="A206" i="2" s="1"/>
  <c r="E207" i="1"/>
  <c r="K207" i="1" s="1"/>
  <c r="A207" i="2" s="1"/>
  <c r="E208" i="1"/>
  <c r="K208" i="1" s="1"/>
  <c r="A208" i="2" s="1"/>
  <c r="E209" i="1"/>
  <c r="K209" i="1" s="1"/>
  <c r="A209" i="2" s="1"/>
  <c r="E210" i="1"/>
  <c r="K210" i="1" s="1"/>
  <c r="A210" i="2" s="1"/>
  <c r="E211" i="1"/>
  <c r="E212" i="1"/>
  <c r="E213" i="1"/>
  <c r="E214" i="1"/>
  <c r="K214" i="1" s="1"/>
  <c r="A214" i="2" s="1"/>
  <c r="E215" i="1"/>
  <c r="E216" i="1"/>
  <c r="K216" i="1" s="1"/>
  <c r="A216" i="2" s="1"/>
  <c r="E217" i="1"/>
  <c r="K217" i="1" s="1"/>
  <c r="A217" i="2" s="1"/>
  <c r="E218" i="1"/>
  <c r="K218" i="1" s="1"/>
  <c r="A218" i="2" s="1"/>
  <c r="E219" i="1"/>
  <c r="K219" i="1" s="1"/>
  <c r="A219" i="2" s="1"/>
  <c r="E220" i="1"/>
  <c r="K220" i="1" s="1"/>
  <c r="A220" i="2" s="1"/>
  <c r="E221" i="1"/>
  <c r="K221" i="1" s="1"/>
  <c r="A221" i="2" s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K500" i="1" s="1"/>
  <c r="A500" i="2" s="1"/>
  <c r="E501" i="1"/>
  <c r="K501" i="1" s="1"/>
  <c r="A501" i="2" s="1"/>
  <c r="E502" i="1"/>
  <c r="K502" i="1" s="1"/>
  <c r="A502" i="2" s="1"/>
  <c r="E503" i="1"/>
  <c r="K503" i="1" s="1"/>
  <c r="A503" i="2" s="1"/>
  <c r="E504" i="1"/>
  <c r="K504" i="1" s="1"/>
  <c r="A504" i="2" s="1"/>
  <c r="E505" i="1"/>
  <c r="K505" i="1" s="1"/>
  <c r="A505" i="2" s="1"/>
  <c r="E506" i="1"/>
  <c r="K506" i="1" s="1"/>
  <c r="A506" i="2" s="1"/>
  <c r="E507" i="1"/>
  <c r="K507" i="1" s="1"/>
  <c r="A507" i="2" s="1"/>
  <c r="E508" i="1"/>
  <c r="K508" i="1" s="1"/>
  <c r="A508" i="2" s="1"/>
  <c r="E509" i="1"/>
  <c r="K509" i="1" s="1"/>
  <c r="A509" i="2" s="1"/>
  <c r="E510" i="1"/>
  <c r="K510" i="1" s="1"/>
  <c r="A510" i="2" s="1"/>
  <c r="E511" i="1"/>
  <c r="K511" i="1" s="1"/>
  <c r="A511" i="2" s="1"/>
  <c r="E512" i="1"/>
  <c r="K512" i="1" s="1"/>
  <c r="A512" i="2" s="1"/>
  <c r="E513" i="1"/>
  <c r="K513" i="1" s="1"/>
  <c r="A513" i="2" s="1"/>
  <c r="E514" i="1"/>
  <c r="K514" i="1" s="1"/>
  <c r="A514" i="2" s="1"/>
  <c r="E515" i="1"/>
  <c r="K515" i="1" s="1"/>
  <c r="A515" i="2" s="1"/>
  <c r="E516" i="1"/>
  <c r="K516" i="1" s="1"/>
  <c r="A516" i="2" s="1"/>
  <c r="E517" i="1"/>
  <c r="K517" i="1" s="1"/>
  <c r="A517" i="2" s="1"/>
  <c r="E518" i="1"/>
  <c r="K518" i="1" s="1"/>
  <c r="A518" i="2" s="1"/>
  <c r="E519" i="1"/>
  <c r="K519" i="1" s="1"/>
  <c r="A519" i="2" s="1"/>
  <c r="E520" i="1"/>
  <c r="K520" i="1" s="1"/>
  <c r="A520" i="2" s="1"/>
  <c r="E521" i="1"/>
  <c r="K521" i="1" s="1"/>
  <c r="A521" i="2" s="1"/>
  <c r="E522" i="1"/>
  <c r="K522" i="1" s="1"/>
  <c r="A522" i="2" s="1"/>
  <c r="E523" i="1"/>
  <c r="K523" i="1" s="1"/>
  <c r="A523" i="2" s="1"/>
  <c r="E524" i="1"/>
  <c r="K524" i="1" s="1"/>
  <c r="A524" i="2" s="1"/>
  <c r="E525" i="1"/>
  <c r="K525" i="1" s="1"/>
  <c r="A525" i="2" s="1"/>
  <c r="E526" i="1"/>
  <c r="K526" i="1" s="1"/>
  <c r="A526" i="2" s="1"/>
  <c r="E527" i="1"/>
  <c r="K527" i="1" s="1"/>
  <c r="A527" i="2" s="1"/>
  <c r="E528" i="1"/>
  <c r="K528" i="1" s="1"/>
  <c r="A528" i="2" s="1"/>
  <c r="E529" i="1"/>
  <c r="K529" i="1" s="1"/>
  <c r="A529" i="2" s="1"/>
  <c r="E530" i="1"/>
  <c r="K530" i="1" s="1"/>
  <c r="A530" i="2" s="1"/>
  <c r="E531" i="1"/>
  <c r="K531" i="1" s="1"/>
  <c r="A531" i="2" s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K588" i="1" s="1"/>
  <c r="A588" i="2" s="1"/>
  <c r="E589" i="1"/>
  <c r="K589" i="1" s="1"/>
  <c r="A589" i="2" s="1"/>
  <c r="E590" i="1"/>
  <c r="K590" i="1" s="1"/>
  <c r="A590" i="2" s="1"/>
  <c r="E591" i="1"/>
  <c r="E592" i="1"/>
  <c r="K592" i="1" s="1"/>
  <c r="A592" i="2" s="1"/>
  <c r="E593" i="1"/>
  <c r="E594" i="1"/>
  <c r="E595" i="1"/>
  <c r="K595" i="1" s="1"/>
  <c r="A595" i="2" s="1"/>
  <c r="E596" i="1"/>
  <c r="K596" i="1" s="1"/>
  <c r="A596" i="2" s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2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2" i="1"/>
  <c r="K591" i="1" l="1"/>
  <c r="A591" i="2" s="1"/>
  <c r="K215" i="1"/>
  <c r="A215" i="2" s="1"/>
  <c r="K205" i="1"/>
  <c r="A205" i="2" s="1"/>
  <c r="K198" i="1"/>
  <c r="A198" i="2" s="1"/>
  <c r="K197" i="1"/>
  <c r="A197" i="2" s="1"/>
  <c r="K196" i="1"/>
  <c r="A196" i="2" s="1"/>
  <c r="K174" i="1"/>
  <c r="A174" i="2" s="1"/>
  <c r="K173" i="1"/>
  <c r="A173" i="2" s="1"/>
  <c r="K83" i="1"/>
  <c r="A83" i="2" s="1"/>
  <c r="K6" i="1"/>
  <c r="A6" i="2" s="1"/>
  <c r="K9" i="1"/>
  <c r="A9" i="2" s="1"/>
  <c r="K11" i="1"/>
  <c r="A11" i="2" s="1"/>
  <c r="K13" i="1"/>
  <c r="A13" i="2" s="1"/>
  <c r="K15" i="1"/>
  <c r="A15" i="2" s="1"/>
  <c r="K17" i="1"/>
  <c r="A17" i="2" s="1"/>
  <c r="K19" i="1"/>
  <c r="A19" i="2" s="1"/>
  <c r="K20" i="1"/>
  <c r="A20" i="2" s="1"/>
  <c r="K22" i="1"/>
  <c r="A22" i="2" s="1"/>
  <c r="K23" i="1"/>
  <c r="A23" i="2" s="1"/>
  <c r="K25" i="1"/>
  <c r="A25" i="2" s="1"/>
  <c r="K27" i="1"/>
  <c r="A27" i="2" s="1"/>
  <c r="K29" i="1"/>
  <c r="A29" i="2" s="1"/>
  <c r="K7" i="1"/>
  <c r="A7" i="2" s="1"/>
  <c r="K8" i="1"/>
  <c r="A8" i="2" s="1"/>
  <c r="K10" i="1"/>
  <c r="A10" i="2" s="1"/>
  <c r="K12" i="1"/>
  <c r="A12" i="2" s="1"/>
  <c r="K14" i="1"/>
  <c r="A14" i="2" s="1"/>
  <c r="K16" i="1"/>
  <c r="A16" i="2" s="1"/>
  <c r="K18" i="1"/>
  <c r="A18" i="2" s="1"/>
  <c r="K21" i="1"/>
  <c r="A21" i="2" s="1"/>
  <c r="K24" i="1"/>
  <c r="A24" i="2" s="1"/>
  <c r="K26" i="1"/>
  <c r="A26" i="2" s="1"/>
  <c r="K28" i="1"/>
  <c r="A28" i="2" s="1"/>
  <c r="K4" i="1"/>
  <c r="A4" i="2" s="1"/>
  <c r="K5" i="1"/>
  <c r="A5" i="2" s="1"/>
  <c r="K2" i="1"/>
  <c r="A2" i="2" s="1"/>
</calcChain>
</file>

<file path=xl/sharedStrings.xml><?xml version="1.0" encoding="utf-8"?>
<sst xmlns="http://schemas.openxmlformats.org/spreadsheetml/2006/main" count="4660" uniqueCount="1638">
  <si>
    <t>KC_NO</t>
  </si>
  <si>
    <t>0x0000</t>
  </si>
  <si>
    <t>KC_TRANSPARENT</t>
  </si>
  <si>
    <t>0x0001</t>
  </si>
  <si>
    <t>KC_A</t>
  </si>
  <si>
    <t>0x0004</t>
  </si>
  <si>
    <t>KC_B</t>
  </si>
  <si>
    <t>0x0005</t>
  </si>
  <si>
    <t>KC_C</t>
  </si>
  <si>
    <t>0x0006</t>
  </si>
  <si>
    <t>KC_D</t>
  </si>
  <si>
    <t>0x0007</t>
  </si>
  <si>
    <t>KC_E</t>
  </si>
  <si>
    <t>0x0008</t>
  </si>
  <si>
    <t>KC_F</t>
  </si>
  <si>
    <t>0x0009</t>
  </si>
  <si>
    <t>KC_G</t>
  </si>
  <si>
    <t>0x000A</t>
  </si>
  <si>
    <t>KC_H</t>
  </si>
  <si>
    <t>0x000B</t>
  </si>
  <si>
    <t>KC_I</t>
  </si>
  <si>
    <t>0x000C</t>
  </si>
  <si>
    <t>KC_J</t>
  </si>
  <si>
    <t>0x000D</t>
  </si>
  <si>
    <t>KC_K</t>
  </si>
  <si>
    <t>0x000E</t>
  </si>
  <si>
    <t>KC_L</t>
  </si>
  <si>
    <t>0x000F</t>
  </si>
  <si>
    <t>KC_M</t>
  </si>
  <si>
    <t>0x0010</t>
  </si>
  <si>
    <t>KC_N</t>
  </si>
  <si>
    <t>0x0011</t>
  </si>
  <si>
    <t>KC_O</t>
  </si>
  <si>
    <t>0x0012</t>
  </si>
  <si>
    <t>KC_P</t>
  </si>
  <si>
    <t>0x0013</t>
  </si>
  <si>
    <t>KC_Q</t>
  </si>
  <si>
    <t>0x0014</t>
  </si>
  <si>
    <t>KC_R</t>
  </si>
  <si>
    <t>0x0015</t>
  </si>
  <si>
    <t>KC_S</t>
  </si>
  <si>
    <t>0x0016</t>
  </si>
  <si>
    <t>KC_T</t>
  </si>
  <si>
    <t>0x0017</t>
  </si>
  <si>
    <t>KC_U</t>
  </si>
  <si>
    <t>0x0018</t>
  </si>
  <si>
    <t>KC_V</t>
  </si>
  <si>
    <t>0x0019</t>
  </si>
  <si>
    <t>KC_W</t>
  </si>
  <si>
    <t>0x001A</t>
  </si>
  <si>
    <t>KC_X</t>
  </si>
  <si>
    <t>0x001B</t>
  </si>
  <si>
    <t>KC_Y</t>
  </si>
  <si>
    <t>0x001C</t>
  </si>
  <si>
    <t>KC_Z</t>
  </si>
  <si>
    <t>0x001D</t>
  </si>
  <si>
    <t>KC_1</t>
  </si>
  <si>
    <t>0x001E</t>
  </si>
  <si>
    <t>KC_2</t>
  </si>
  <si>
    <t>0x001F</t>
  </si>
  <si>
    <t>KC_3</t>
  </si>
  <si>
    <t>0x0020</t>
  </si>
  <si>
    <t>KC_4</t>
  </si>
  <si>
    <t>0x0021</t>
  </si>
  <si>
    <t>KC_5</t>
  </si>
  <si>
    <t>0x0022</t>
  </si>
  <si>
    <t>KC_6</t>
  </si>
  <si>
    <t>0x0023</t>
  </si>
  <si>
    <t>KC_7</t>
  </si>
  <si>
    <t>0x0024</t>
  </si>
  <si>
    <t>KC_8</t>
  </si>
  <si>
    <t>0x0025</t>
  </si>
  <si>
    <t>KC_9</t>
  </si>
  <si>
    <t>0x0026</t>
  </si>
  <si>
    <t>KC_0</t>
  </si>
  <si>
    <t>0x0027</t>
  </si>
  <si>
    <t>KC_ENTER</t>
  </si>
  <si>
    <t>0x0028</t>
  </si>
  <si>
    <t>KC_ESCAPE</t>
  </si>
  <si>
    <t>0x0029</t>
  </si>
  <si>
    <t>KC_BACKSPACE</t>
  </si>
  <si>
    <t>0x002A</t>
  </si>
  <si>
    <t>KC_TAB</t>
  </si>
  <si>
    <t>0x002B</t>
  </si>
  <si>
    <t>KC_SPACE</t>
  </si>
  <si>
    <t>0x002C</t>
  </si>
  <si>
    <t>KC_MINUS</t>
  </si>
  <si>
    <t>0x002D</t>
  </si>
  <si>
    <t>KC_EQUAL</t>
  </si>
  <si>
    <t>0x002E</t>
  </si>
  <si>
    <t>KC_LEFT_BRACKET</t>
  </si>
  <si>
    <t>0x002F</t>
  </si>
  <si>
    <t>KC_RIGHT_BRACKET</t>
  </si>
  <si>
    <t>0x0030</t>
  </si>
  <si>
    <t>KC_BACKSLASH</t>
  </si>
  <si>
    <t>0x0031</t>
  </si>
  <si>
    <t>KC_NONUS_HASH</t>
  </si>
  <si>
    <t>0x0032</t>
  </si>
  <si>
    <t>KC_SEMICOLON</t>
  </si>
  <si>
    <t>0x0033</t>
  </si>
  <si>
    <t>KC_QUOTE</t>
  </si>
  <si>
    <t>0x0034</t>
  </si>
  <si>
    <t>KC_GRAVE</t>
  </si>
  <si>
    <t>0x0035</t>
  </si>
  <si>
    <t>KC_COMMA</t>
  </si>
  <si>
    <t>0x0036</t>
  </si>
  <si>
    <t>KC_DOT</t>
  </si>
  <si>
    <t>0x0037</t>
  </si>
  <si>
    <t>KC_SLASH</t>
  </si>
  <si>
    <t>0x0038</t>
  </si>
  <si>
    <t>KC_CAPS_LOCK</t>
  </si>
  <si>
    <t>0x0039</t>
  </si>
  <si>
    <t>KC_F1</t>
  </si>
  <si>
    <t>0x003A</t>
  </si>
  <si>
    <t>KC_F2</t>
  </si>
  <si>
    <t>0x003B</t>
  </si>
  <si>
    <t>KC_F3</t>
  </si>
  <si>
    <t>0x003C</t>
  </si>
  <si>
    <t>KC_F4</t>
  </si>
  <si>
    <t>0x003D</t>
  </si>
  <si>
    <t>KC_F5</t>
  </si>
  <si>
    <t>0x003E</t>
  </si>
  <si>
    <t>KC_F6</t>
  </si>
  <si>
    <t>0x003F</t>
  </si>
  <si>
    <t>KC_F7</t>
  </si>
  <si>
    <t>0x0040</t>
  </si>
  <si>
    <t>KC_F8</t>
  </si>
  <si>
    <t>0x0041</t>
  </si>
  <si>
    <t>KC_F9</t>
  </si>
  <si>
    <t>0x0042</t>
  </si>
  <si>
    <t>KC_F10</t>
  </si>
  <si>
    <t>0x0043</t>
  </si>
  <si>
    <t>KC_F11</t>
  </si>
  <si>
    <t>0x0044</t>
  </si>
  <si>
    <t>KC_F12</t>
  </si>
  <si>
    <t>0x0045</t>
  </si>
  <si>
    <t>KC_PRINT_SCREEN</t>
  </si>
  <si>
    <t>0x0046</t>
  </si>
  <si>
    <t>KC_SCROLL_LOCK</t>
  </si>
  <si>
    <t>0x0047</t>
  </si>
  <si>
    <t>KC_PAUSE</t>
  </si>
  <si>
    <t>0x0048</t>
  </si>
  <si>
    <t>KC_INSERT</t>
  </si>
  <si>
    <t>0x0049</t>
  </si>
  <si>
    <t>KC_HOME</t>
  </si>
  <si>
    <t>0x004A</t>
  </si>
  <si>
    <t>KC_PAGE_UP</t>
  </si>
  <si>
    <t>0x004B</t>
  </si>
  <si>
    <t>KC_DELETE</t>
  </si>
  <si>
    <t>0x004C</t>
  </si>
  <si>
    <t>KC_END</t>
  </si>
  <si>
    <t>0x004D</t>
  </si>
  <si>
    <t>KC_PAGE_DOWN</t>
  </si>
  <si>
    <t>0x004E</t>
  </si>
  <si>
    <t>KC_RIGHT</t>
  </si>
  <si>
    <t>0x004F</t>
  </si>
  <si>
    <t>KC_LEFT</t>
  </si>
  <si>
    <t>0x0050</t>
  </si>
  <si>
    <t>KC_DOWN</t>
  </si>
  <si>
    <t>0x0051</t>
  </si>
  <si>
    <t>KC_UP</t>
  </si>
  <si>
    <t>0x0052</t>
  </si>
  <si>
    <t>KC_NUM_LOCK</t>
  </si>
  <si>
    <t>0x0053</t>
  </si>
  <si>
    <t>KC_KP_SLASH</t>
  </si>
  <si>
    <t>0x0054</t>
  </si>
  <si>
    <t>KC_KP_ASTERISK</t>
  </si>
  <si>
    <t>0x0055</t>
  </si>
  <si>
    <t>KC_KP_MINUS</t>
  </si>
  <si>
    <t>0x0056</t>
  </si>
  <si>
    <t>KC_KP_PLUS</t>
  </si>
  <si>
    <t>0x0057</t>
  </si>
  <si>
    <t>KC_KP_ENTER</t>
  </si>
  <si>
    <t>0x0058</t>
  </si>
  <si>
    <t>KC_KP_1</t>
  </si>
  <si>
    <t>0x0059</t>
  </si>
  <si>
    <t>KC_KP_2</t>
  </si>
  <si>
    <t>0x005A</t>
  </si>
  <si>
    <t>KC_KP_3</t>
  </si>
  <si>
    <t>0x005B</t>
  </si>
  <si>
    <t>KC_KP_4</t>
  </si>
  <si>
    <t>0x005C</t>
  </si>
  <si>
    <t>KC_KP_5</t>
  </si>
  <si>
    <t>0x005D</t>
  </si>
  <si>
    <t>KC_KP_6</t>
  </si>
  <si>
    <t>0x005E</t>
  </si>
  <si>
    <t>KC_KP_7</t>
  </si>
  <si>
    <t>0x005F</t>
  </si>
  <si>
    <t>KC_KP_8</t>
  </si>
  <si>
    <t>0x0060</t>
  </si>
  <si>
    <t>KC_KP_9</t>
  </si>
  <si>
    <t>0x0061</t>
  </si>
  <si>
    <t>KC_KP_0</t>
  </si>
  <si>
    <t>0x0062</t>
  </si>
  <si>
    <t>KC_KP_DOT</t>
  </si>
  <si>
    <t>0x0063</t>
  </si>
  <si>
    <t>KC_NONUS_BACKSLASH</t>
  </si>
  <si>
    <t>0x0064</t>
  </si>
  <si>
    <t>KC_APPLICATION</t>
  </si>
  <si>
    <t>0x0065</t>
  </si>
  <si>
    <t>KC_KB_POWER</t>
  </si>
  <si>
    <t>0x0066</t>
  </si>
  <si>
    <t>KC_KP_EQUAL</t>
  </si>
  <si>
    <t>0x0067</t>
  </si>
  <si>
    <t>KC_F13</t>
  </si>
  <si>
    <t>0x0068</t>
  </si>
  <si>
    <t>KC_F14</t>
  </si>
  <si>
    <t>0x0069</t>
  </si>
  <si>
    <t>KC_F15</t>
  </si>
  <si>
    <t>0x006A</t>
  </si>
  <si>
    <t>KC_F16</t>
  </si>
  <si>
    <t>0x006B</t>
  </si>
  <si>
    <t>KC_F17</t>
  </si>
  <si>
    <t>0x006C</t>
  </si>
  <si>
    <t>KC_F18</t>
  </si>
  <si>
    <t>0x006D</t>
  </si>
  <si>
    <t>KC_F19</t>
  </si>
  <si>
    <t>0x006E</t>
  </si>
  <si>
    <t>KC_F20</t>
  </si>
  <si>
    <t>0x006F</t>
  </si>
  <si>
    <t>KC_F21</t>
  </si>
  <si>
    <t>0x0070</t>
  </si>
  <si>
    <t>KC_F22</t>
  </si>
  <si>
    <t>0x0071</t>
  </si>
  <si>
    <t>KC_F23</t>
  </si>
  <si>
    <t>0x0072</t>
  </si>
  <si>
    <t>KC_F24</t>
  </si>
  <si>
    <t>0x0073</t>
  </si>
  <si>
    <t>KC_EXECUTE</t>
  </si>
  <si>
    <t>0x0074</t>
  </si>
  <si>
    <t>KC_HELP</t>
  </si>
  <si>
    <t>0x0075</t>
  </si>
  <si>
    <t>KC_MENU</t>
  </si>
  <si>
    <t>0x0076</t>
  </si>
  <si>
    <t>KC_SELECT</t>
  </si>
  <si>
    <t>0x0077</t>
  </si>
  <si>
    <t>KC_STOP</t>
  </si>
  <si>
    <t>0x0078</t>
  </si>
  <si>
    <t>KC_AGAIN</t>
  </si>
  <si>
    <t>0x0079</t>
  </si>
  <si>
    <t>KC_UNDO</t>
  </si>
  <si>
    <t>0x007A</t>
  </si>
  <si>
    <t>KC_CUT</t>
  </si>
  <si>
    <t>0x007B</t>
  </si>
  <si>
    <t>KC_COPY</t>
  </si>
  <si>
    <t>0x007C</t>
  </si>
  <si>
    <t>KC_PASTE</t>
  </si>
  <si>
    <t>0x007D</t>
  </si>
  <si>
    <t>KC_FIND</t>
  </si>
  <si>
    <t>0x007E</t>
  </si>
  <si>
    <t>KC_KB_MUTE</t>
  </si>
  <si>
    <t>0x007F</t>
  </si>
  <si>
    <t>KC_KB_VOLUME_UP</t>
  </si>
  <si>
    <t>0x0080</t>
  </si>
  <si>
    <t>KC_KB_VOLUME_DOWN</t>
  </si>
  <si>
    <t>0x0081</t>
  </si>
  <si>
    <t>KC_LOCKING_CAPS_LOCK</t>
  </si>
  <si>
    <t>0x0082</t>
  </si>
  <si>
    <t>KC_LOCKING_NUM_LOCK</t>
  </si>
  <si>
    <t>0x0083</t>
  </si>
  <si>
    <t>KC_LOCKING_SCROLL_LOCK</t>
  </si>
  <si>
    <t>0x0084</t>
  </si>
  <si>
    <t>KC_KP_COMMA</t>
  </si>
  <si>
    <t>0x0085</t>
  </si>
  <si>
    <t>KC_KP_EQUAL_AS400</t>
  </si>
  <si>
    <t>0x0086</t>
  </si>
  <si>
    <t>KC_INTERNATIONAL_1</t>
  </si>
  <si>
    <t>0x0087</t>
  </si>
  <si>
    <t>KC_INTERNATIONAL_2</t>
  </si>
  <si>
    <t>0x0088</t>
  </si>
  <si>
    <t>KC_INTERNATIONAL_3</t>
  </si>
  <si>
    <t>0x0089</t>
  </si>
  <si>
    <t>KC_INTERNATIONAL_4</t>
  </si>
  <si>
    <t>0x008A</t>
  </si>
  <si>
    <t>KC_INTERNATIONAL_5</t>
  </si>
  <si>
    <t>0x008B</t>
  </si>
  <si>
    <t>KC_INTERNATIONAL_6</t>
  </si>
  <si>
    <t>0x008C</t>
  </si>
  <si>
    <t>KC_INTERNATIONAL_7</t>
  </si>
  <si>
    <t>0x008D</t>
  </si>
  <si>
    <t>KC_INTERNATIONAL_8</t>
  </si>
  <si>
    <t>0x008E</t>
  </si>
  <si>
    <t>KC_INTERNATIONAL_9</t>
  </si>
  <si>
    <t>0x008F</t>
  </si>
  <si>
    <t>KC_LANGUAGE_1</t>
  </si>
  <si>
    <t>0x0090</t>
  </si>
  <si>
    <t>KC_LANGUAGE_2</t>
  </si>
  <si>
    <t>0x0091</t>
  </si>
  <si>
    <t>KC_LANGUAGE_3</t>
  </si>
  <si>
    <t>0x0092</t>
  </si>
  <si>
    <t>KC_LANGUAGE_4</t>
  </si>
  <si>
    <t>0x0093</t>
  </si>
  <si>
    <t>KC_LANGUAGE_5</t>
  </si>
  <si>
    <t>0x0094</t>
  </si>
  <si>
    <t>KC_LANGUAGE_6</t>
  </si>
  <si>
    <t>0x0095</t>
  </si>
  <si>
    <t>KC_LANGUAGE_7</t>
  </si>
  <si>
    <t>0x0096</t>
  </si>
  <si>
    <t>KC_LANGUAGE_8</t>
  </si>
  <si>
    <t>0x0097</t>
  </si>
  <si>
    <t>KC_LANGUAGE_9</t>
  </si>
  <si>
    <t>0x0098</t>
  </si>
  <si>
    <t>KC_ALTERNATE_ERASE</t>
  </si>
  <si>
    <t>0x0099</t>
  </si>
  <si>
    <t>KC_SYSTEM_REQUEST</t>
  </si>
  <si>
    <t>0x009A</t>
  </si>
  <si>
    <t>KC_CANCEL</t>
  </si>
  <si>
    <t>0x009B</t>
  </si>
  <si>
    <t>KC_CLEAR</t>
  </si>
  <si>
    <t>0x009C</t>
  </si>
  <si>
    <t>KC_PRIOR</t>
  </si>
  <si>
    <t>0x009D</t>
  </si>
  <si>
    <t>KC_RETURN</t>
  </si>
  <si>
    <t>0x009E</t>
  </si>
  <si>
    <t>KC_SEPARATOR</t>
  </si>
  <si>
    <t>0x009F</t>
  </si>
  <si>
    <t>KC_OUT</t>
  </si>
  <si>
    <t>0x00A0</t>
  </si>
  <si>
    <t>KC_OPER</t>
  </si>
  <si>
    <t>0x00A1</t>
  </si>
  <si>
    <t>KC_CLEAR_AGAIN</t>
  </si>
  <si>
    <t>0x00A2</t>
  </si>
  <si>
    <t>KC_CRSEL</t>
  </si>
  <si>
    <t>0x00A3</t>
  </si>
  <si>
    <t>KC_EXSEL</t>
  </si>
  <si>
    <t>0x00A4</t>
  </si>
  <si>
    <t>KC_SYSTEM_POWER</t>
  </si>
  <si>
    <t>0x00A5</t>
  </si>
  <si>
    <t>KC_SYSTEM_SLEEP</t>
  </si>
  <si>
    <t>0x00A6</t>
  </si>
  <si>
    <t>KC_SYSTEM_WAKE</t>
  </si>
  <si>
    <t>0x00A7</t>
  </si>
  <si>
    <t>KC_AUDIO_MUTE</t>
  </si>
  <si>
    <t>0x00A8</t>
  </si>
  <si>
    <t>KC_AUDIO_VOL_UP</t>
  </si>
  <si>
    <t>0x00A9</t>
  </si>
  <si>
    <t>KC_AUDIO_VOL_DOWN</t>
  </si>
  <si>
    <t>0x00AA</t>
  </si>
  <si>
    <t>KC_MEDIA_NEXT_TRACK</t>
  </si>
  <si>
    <t>0x00AB</t>
  </si>
  <si>
    <t>KC_MEDIA_PREV_TRACK</t>
  </si>
  <si>
    <t>0x00AC</t>
  </si>
  <si>
    <t>KC_MEDIA_STOP</t>
  </si>
  <si>
    <t>0x00AD</t>
  </si>
  <si>
    <t>KC_MEDIA_PLAY_PAUSE</t>
  </si>
  <si>
    <t>0x00AE</t>
  </si>
  <si>
    <t>KC_MEDIA_SELECT</t>
  </si>
  <si>
    <t>0x00AF</t>
  </si>
  <si>
    <t>KC_MEDIA_EJECT</t>
  </si>
  <si>
    <t>0x00B0</t>
  </si>
  <si>
    <t>KC_MAIL</t>
  </si>
  <si>
    <t>0x00B1</t>
  </si>
  <si>
    <t>KC_CALCULATOR</t>
  </si>
  <si>
    <t>0x00B2</t>
  </si>
  <si>
    <t>KC_MY_COMPUTER</t>
  </si>
  <si>
    <t>0x00B3</t>
  </si>
  <si>
    <t>KC_WWW_SEARCH</t>
  </si>
  <si>
    <t>0x00B4</t>
  </si>
  <si>
    <t>KC_WWW_HOME</t>
  </si>
  <si>
    <t>0x00B5</t>
  </si>
  <si>
    <t>KC_WWW_BACK</t>
  </si>
  <si>
    <t>0x00B6</t>
  </si>
  <si>
    <t>KC_WWW_FORWARD</t>
  </si>
  <si>
    <t>0x00B7</t>
  </si>
  <si>
    <t>KC_WWW_STOP</t>
  </si>
  <si>
    <t>0x00B8</t>
  </si>
  <si>
    <t>KC_WWW_REFRESH</t>
  </si>
  <si>
    <t>0x00B9</t>
  </si>
  <si>
    <t>KC_WWW_FAVORITES</t>
  </si>
  <si>
    <t>0x00BA</t>
  </si>
  <si>
    <t>KC_MEDIA_FAST_FORWARD</t>
  </si>
  <si>
    <t>0x00BB</t>
  </si>
  <si>
    <t>KC_MEDIA_REWIND</t>
  </si>
  <si>
    <t>0x00BC</t>
  </si>
  <si>
    <t>KC_BRIGHTNESS_UP</t>
  </si>
  <si>
    <t>0x00BD</t>
  </si>
  <si>
    <t>KC_BRIGHTNESS_DOWN</t>
  </si>
  <si>
    <t>0x00BE</t>
  </si>
  <si>
    <t>KC_CONTROL_PANEL</t>
  </si>
  <si>
    <t>0x00BF</t>
  </si>
  <si>
    <t>KC_ASSISTANT</t>
  </si>
  <si>
    <t>0x00C0</t>
  </si>
  <si>
    <t>KC_MISSION_CONTROL</t>
  </si>
  <si>
    <t>0x00C1</t>
  </si>
  <si>
    <t>KC_LAUNCHPAD</t>
  </si>
  <si>
    <t>0x00C2</t>
  </si>
  <si>
    <t>QK_MOUSE_CURSOR_UP</t>
  </si>
  <si>
    <t>0x00CD</t>
  </si>
  <si>
    <t>QK_MOUSE_CURSOR_DOWN</t>
  </si>
  <si>
    <t>0x00CE</t>
  </si>
  <si>
    <t>QK_MOUSE_CURSOR_LEFT</t>
  </si>
  <si>
    <t>0x00CF</t>
  </si>
  <si>
    <t>QK_MOUSE_CURSOR_RIGHT</t>
  </si>
  <si>
    <t>0x00D0</t>
  </si>
  <si>
    <t>QK_MOUSE_BUTTON_1</t>
  </si>
  <si>
    <t>0x00D1</t>
  </si>
  <si>
    <t>QK_MOUSE_BUTTON_2</t>
  </si>
  <si>
    <t>0x00D2</t>
  </si>
  <si>
    <t>QK_MOUSE_BUTTON_3</t>
  </si>
  <si>
    <t>0x00D3</t>
  </si>
  <si>
    <t>QK_MOUSE_BUTTON_4</t>
  </si>
  <si>
    <t>0x00D4</t>
  </si>
  <si>
    <t>QK_MOUSE_BUTTON_5</t>
  </si>
  <si>
    <t>0x00D5</t>
  </si>
  <si>
    <t>QK_MOUSE_BUTTON_6</t>
  </si>
  <si>
    <t>0x00D6</t>
  </si>
  <si>
    <t>QK_MOUSE_BUTTON_7</t>
  </si>
  <si>
    <t>0x00D7</t>
  </si>
  <si>
    <t>QK_MOUSE_BUTTON_8</t>
  </si>
  <si>
    <t>0x00D8</t>
  </si>
  <si>
    <t>QK_MOUSE_WHEEL_UP</t>
  </si>
  <si>
    <t>0x00D9</t>
  </si>
  <si>
    <t>QK_MOUSE_WHEEL_DOWN</t>
  </si>
  <si>
    <t>0x00DA</t>
  </si>
  <si>
    <t>QK_MOUSE_WHEEL_LEFT</t>
  </si>
  <si>
    <t>0x00DB</t>
  </si>
  <si>
    <t>QK_MOUSE_WHEEL_RIGHT</t>
  </si>
  <si>
    <t>0x00DC</t>
  </si>
  <si>
    <t>QK_MOUSE_ACCELERATION_0</t>
  </si>
  <si>
    <t>0x00DD</t>
  </si>
  <si>
    <t>QK_MOUSE_ACCELERATION_1</t>
  </si>
  <si>
    <t>0x00DE</t>
  </si>
  <si>
    <t>QK_MOUSE_ACCELERATION_2</t>
  </si>
  <si>
    <t>0x00DF</t>
  </si>
  <si>
    <t>KC_LEFT_CTRL</t>
  </si>
  <si>
    <t>0x00E0</t>
  </si>
  <si>
    <t>KC_LEFT_SHIFT</t>
  </si>
  <si>
    <t>0x00E1</t>
  </si>
  <si>
    <t>KC_LEFT_ALT</t>
  </si>
  <si>
    <t>0x00E2</t>
  </si>
  <si>
    <t>KC_LEFT_GUI</t>
  </si>
  <si>
    <t>0x00E3</t>
  </si>
  <si>
    <t>KC_RIGHT_CTRL</t>
  </si>
  <si>
    <t>0x00E4</t>
  </si>
  <si>
    <t>KC_RIGHT_SHIFT</t>
  </si>
  <si>
    <t>0x00E5</t>
  </si>
  <si>
    <t>KC_RIGHT_ALT</t>
  </si>
  <si>
    <t>0x00E6</t>
  </si>
  <si>
    <t>KC_RIGHT_GUI</t>
  </si>
  <si>
    <t>0x00E7</t>
  </si>
  <si>
    <t>QK_SWAP_HANDS_TOGGLE</t>
  </si>
  <si>
    <t>0x56F0</t>
  </si>
  <si>
    <t>QK_SWAP_HANDS_TAP_TOGGLE</t>
  </si>
  <si>
    <t>0x56F1</t>
  </si>
  <si>
    <t>QK_SWAP_HANDS_MOMENTARY_ON</t>
  </si>
  <si>
    <t>0x56F2</t>
  </si>
  <si>
    <t>QK_SWAP_HANDS_MOMENTARY_OFF</t>
  </si>
  <si>
    <t>0x56F3</t>
  </si>
  <si>
    <t>QK_SWAP_HANDS_OFF</t>
  </si>
  <si>
    <t>0x56F4</t>
  </si>
  <si>
    <t>QK_SWAP_HANDS_ON</t>
  </si>
  <si>
    <t>0x56F5</t>
  </si>
  <si>
    <t>QK_SWAP_HANDS_ONE_SHOT</t>
  </si>
  <si>
    <t>0x56F6</t>
  </si>
  <si>
    <t>QK_MAGIC_SWAP_CONTROL_CAPS_LOCK</t>
  </si>
  <si>
    <t>0x7000</t>
  </si>
  <si>
    <t>QK_MAGIC_UNSWAP_CONTROL_CAPS_LOCK</t>
  </si>
  <si>
    <t>0x7001</t>
  </si>
  <si>
    <t>QK_MAGIC_TOGGLE_CONTROL_CAPS_LOCK</t>
  </si>
  <si>
    <t>0x7002</t>
  </si>
  <si>
    <t>QK_MAGIC_CAPS_LOCK_AS_CONTROL_OFF</t>
  </si>
  <si>
    <t>0x7003</t>
  </si>
  <si>
    <t>QK_MAGIC_CAPS_LOCK_AS_CONTROL_ON</t>
  </si>
  <si>
    <t>0x7004</t>
  </si>
  <si>
    <t>QK_MAGIC_SWAP_LALT_LGUI</t>
  </si>
  <si>
    <t>0x7005</t>
  </si>
  <si>
    <t>QK_MAGIC_UNSWAP_LALT_LGUI</t>
  </si>
  <si>
    <t>0x7006</t>
  </si>
  <si>
    <t>QK_MAGIC_SWAP_RALT_RGUI</t>
  </si>
  <si>
    <t>0x7007</t>
  </si>
  <si>
    <t>QK_MAGIC_UNSWAP_RALT_RGUI</t>
  </si>
  <si>
    <t>0x7008</t>
  </si>
  <si>
    <t>QK_MAGIC_GUI_ON</t>
  </si>
  <si>
    <t>0x7009</t>
  </si>
  <si>
    <t>QK_MAGIC_GUI_OFF</t>
  </si>
  <si>
    <t>0x700A</t>
  </si>
  <si>
    <t>QK_MAGIC_TOGGLE_GUI</t>
  </si>
  <si>
    <t>0x700B</t>
  </si>
  <si>
    <t>QK_MAGIC_SWAP_GRAVE_ESC</t>
  </si>
  <si>
    <t>0x700C</t>
  </si>
  <si>
    <t>QK_MAGIC_UNSWAP_GRAVE_ESC</t>
  </si>
  <si>
    <t>0x700D</t>
  </si>
  <si>
    <t>QK_MAGIC_SWAP_BACKSLASH_BACKSPACE</t>
  </si>
  <si>
    <t>0x700E</t>
  </si>
  <si>
    <t>QK_MAGIC_UNSWAP_BACKSLASH_BACKSPACE</t>
  </si>
  <si>
    <t>0x700F</t>
  </si>
  <si>
    <t>QK_MAGIC_TOGGLE_BACKSLASH_BACKSPACE</t>
  </si>
  <si>
    <t>0x7010</t>
  </si>
  <si>
    <t>QK_MAGIC_NKRO_ON</t>
  </si>
  <si>
    <t>0x7011</t>
  </si>
  <si>
    <t>QK_MAGIC_NKRO_OFF</t>
  </si>
  <si>
    <t>0x7012</t>
  </si>
  <si>
    <t>QK_MAGIC_TOGGLE_NKRO</t>
  </si>
  <si>
    <t>0x7013</t>
  </si>
  <si>
    <t>QK_MAGIC_SWAP_ALT_GUI</t>
  </si>
  <si>
    <t>0x7014</t>
  </si>
  <si>
    <t>QK_MAGIC_UNSWAP_ALT_GUI</t>
  </si>
  <si>
    <t>0x7015</t>
  </si>
  <si>
    <t>QK_MAGIC_TOGGLE_ALT_GUI</t>
  </si>
  <si>
    <t>0x7016</t>
  </si>
  <si>
    <t>QK_MAGIC_SWAP_LCTL_LGUI</t>
  </si>
  <si>
    <t>0x7017</t>
  </si>
  <si>
    <t>QK_MAGIC_UNSWAP_LCTL_LGUI</t>
  </si>
  <si>
    <t>0x7018</t>
  </si>
  <si>
    <t>QK_MAGIC_SWAP_RCTL_RGUI</t>
  </si>
  <si>
    <t>0x7019</t>
  </si>
  <si>
    <t>QK_MAGIC_UNSWAP_RCTL_RGUI</t>
  </si>
  <si>
    <t>0x701A</t>
  </si>
  <si>
    <t>QK_MAGIC_SWAP_CTL_GUI</t>
  </si>
  <si>
    <t>0x701B</t>
  </si>
  <si>
    <t>QK_MAGIC_UNSWAP_CTL_GUI</t>
  </si>
  <si>
    <t>0x701C</t>
  </si>
  <si>
    <t>QK_MAGIC_TOGGLE_CTL_GUI</t>
  </si>
  <si>
    <t>0x701D</t>
  </si>
  <si>
    <t>QK_MAGIC_EE_HANDS_LEFT</t>
  </si>
  <si>
    <t>0x701E</t>
  </si>
  <si>
    <t>QK_MAGIC_EE_HANDS_RIGHT</t>
  </si>
  <si>
    <t>0x701F</t>
  </si>
  <si>
    <t>QK_MAGIC_SWAP_ESCAPE_CAPS_LOCK</t>
  </si>
  <si>
    <t>0x7020</t>
  </si>
  <si>
    <t>QK_MAGIC_UNSWAP_ESCAPE_CAPS_LOCK</t>
  </si>
  <si>
    <t>0x7021</t>
  </si>
  <si>
    <t>QK_MAGIC_TOGGLE_ESCAPE_CAPS_LOCK</t>
  </si>
  <si>
    <t>0x7022</t>
  </si>
  <si>
    <t>QK_MIDI_ON</t>
  </si>
  <si>
    <t>0x7100</t>
  </si>
  <si>
    <t>QK_MIDI_OFF</t>
  </si>
  <si>
    <t>0x7101</t>
  </si>
  <si>
    <t>QK_MIDI_TOGGLE</t>
  </si>
  <si>
    <t>0x7102</t>
  </si>
  <si>
    <t>QK_MIDI_NOTE_C_0</t>
  </si>
  <si>
    <t>0x7103</t>
  </si>
  <si>
    <t>QK_MIDI_NOTE_C_SHARP_0</t>
  </si>
  <si>
    <t>0x7104</t>
  </si>
  <si>
    <t>QK_MIDI_NOTE_D_0</t>
  </si>
  <si>
    <t>0x7105</t>
  </si>
  <si>
    <t>QK_MIDI_NOTE_D_SHARP_0</t>
  </si>
  <si>
    <t>0x7106</t>
  </si>
  <si>
    <t>QK_MIDI_NOTE_E_0</t>
  </si>
  <si>
    <t>0x7107</t>
  </si>
  <si>
    <t>QK_MIDI_NOTE_F_0</t>
  </si>
  <si>
    <t>0x7108</t>
  </si>
  <si>
    <t>QK_MIDI_NOTE_F_SHARP_0</t>
  </si>
  <si>
    <t>0x7109</t>
  </si>
  <si>
    <t>QK_MIDI_NOTE_G_0</t>
  </si>
  <si>
    <t>0x710A</t>
  </si>
  <si>
    <t>QK_MIDI_NOTE_G_SHARP_0</t>
  </si>
  <si>
    <t>0x710B</t>
  </si>
  <si>
    <t>QK_MIDI_NOTE_A_0</t>
  </si>
  <si>
    <t>0x710C</t>
  </si>
  <si>
    <t>QK_MIDI_NOTE_A_SHARP_0</t>
  </si>
  <si>
    <t>0x710D</t>
  </si>
  <si>
    <t>QK_MIDI_NOTE_B_0</t>
  </si>
  <si>
    <t>0x710E</t>
  </si>
  <si>
    <t>QK_MIDI_NOTE_C_1</t>
  </si>
  <si>
    <t>0x710F</t>
  </si>
  <si>
    <t>QK_MIDI_NOTE_C_SHARP_1</t>
  </si>
  <si>
    <t>0x7110</t>
  </si>
  <si>
    <t>QK_MIDI_NOTE_D_1</t>
  </si>
  <si>
    <t>0x7111</t>
  </si>
  <si>
    <t>QK_MIDI_NOTE_D_SHARP_1</t>
  </si>
  <si>
    <t>0x7112</t>
  </si>
  <si>
    <t>QK_MIDI_NOTE_E_1</t>
  </si>
  <si>
    <t>0x7113</t>
  </si>
  <si>
    <t>QK_MIDI_NOTE_F_1</t>
  </si>
  <si>
    <t>0x7114</t>
  </si>
  <si>
    <t>QK_MIDI_NOTE_F_SHARP_1</t>
  </si>
  <si>
    <t>0x7115</t>
  </si>
  <si>
    <t>QK_MIDI_NOTE_G_1</t>
  </si>
  <si>
    <t>0x7116</t>
  </si>
  <si>
    <t>QK_MIDI_NOTE_G_SHARP_1</t>
  </si>
  <si>
    <t>0x7117</t>
  </si>
  <si>
    <t>QK_MIDI_NOTE_A_1</t>
  </si>
  <si>
    <t>0x7118</t>
  </si>
  <si>
    <t>QK_MIDI_NOTE_A_SHARP_1</t>
  </si>
  <si>
    <t>0x7119</t>
  </si>
  <si>
    <t>QK_MIDI_NOTE_B_1</t>
  </si>
  <si>
    <t>0x711A</t>
  </si>
  <si>
    <t>QK_MIDI_NOTE_C_2</t>
  </si>
  <si>
    <t>0x711B</t>
  </si>
  <si>
    <t>QK_MIDI_NOTE_C_SHARP_2</t>
  </si>
  <si>
    <t>0x711C</t>
  </si>
  <si>
    <t>QK_MIDI_NOTE_D_2</t>
  </si>
  <si>
    <t>0x711D</t>
  </si>
  <si>
    <t>QK_MIDI_NOTE_D_SHARP_2</t>
  </si>
  <si>
    <t>0x711E</t>
  </si>
  <si>
    <t>QK_MIDI_NOTE_E_2</t>
  </si>
  <si>
    <t>0x711F</t>
  </si>
  <si>
    <t>QK_MIDI_NOTE_F_2</t>
  </si>
  <si>
    <t>0x7120</t>
  </si>
  <si>
    <t>QK_MIDI_NOTE_F_SHARP_2</t>
  </si>
  <si>
    <t>0x7121</t>
  </si>
  <si>
    <t>QK_MIDI_NOTE_G_2</t>
  </si>
  <si>
    <t>0x7122</t>
  </si>
  <si>
    <t>QK_MIDI_NOTE_G_SHARP_2</t>
  </si>
  <si>
    <t>0x7123</t>
  </si>
  <si>
    <t>QK_MIDI_NOTE_A_2</t>
  </si>
  <si>
    <t>0x7124</t>
  </si>
  <si>
    <t>QK_MIDI_NOTE_A_SHARP_2</t>
  </si>
  <si>
    <t>0x7125</t>
  </si>
  <si>
    <t>QK_MIDI_NOTE_B_2</t>
  </si>
  <si>
    <t>0x7126</t>
  </si>
  <si>
    <t>QK_MIDI_NOTE_C_3</t>
  </si>
  <si>
    <t>0x7127</t>
  </si>
  <si>
    <t>QK_MIDI_NOTE_C_SHARP_3</t>
  </si>
  <si>
    <t>0x7128</t>
  </si>
  <si>
    <t>QK_MIDI_NOTE_D_3</t>
  </si>
  <si>
    <t>0x7129</t>
  </si>
  <si>
    <t>QK_MIDI_NOTE_D_SHARP_3</t>
  </si>
  <si>
    <t>0x712A</t>
  </si>
  <si>
    <t>QK_MIDI_NOTE_E_3</t>
  </si>
  <si>
    <t>0x712B</t>
  </si>
  <si>
    <t>QK_MIDI_NOTE_F_3</t>
  </si>
  <si>
    <t>0x712C</t>
  </si>
  <si>
    <t>QK_MIDI_NOTE_F_SHARP_3</t>
  </si>
  <si>
    <t>0x712D</t>
  </si>
  <si>
    <t>QK_MIDI_NOTE_G_3</t>
  </si>
  <si>
    <t>0x712E</t>
  </si>
  <si>
    <t>QK_MIDI_NOTE_G_SHARP_3</t>
  </si>
  <si>
    <t>0x712F</t>
  </si>
  <si>
    <t>QK_MIDI_NOTE_A_3</t>
  </si>
  <si>
    <t>0x7130</t>
  </si>
  <si>
    <t>QK_MIDI_NOTE_A_SHARP_3</t>
  </si>
  <si>
    <t>0x7131</t>
  </si>
  <si>
    <t>QK_MIDI_NOTE_B_3</t>
  </si>
  <si>
    <t>0x7132</t>
  </si>
  <si>
    <t>QK_MIDI_NOTE_C_4</t>
  </si>
  <si>
    <t>0x7133</t>
  </si>
  <si>
    <t>QK_MIDI_NOTE_C_SHARP_4</t>
  </si>
  <si>
    <t>0x7134</t>
  </si>
  <si>
    <t>QK_MIDI_NOTE_D_4</t>
  </si>
  <si>
    <t>0x7135</t>
  </si>
  <si>
    <t>QK_MIDI_NOTE_D_SHARP_4</t>
  </si>
  <si>
    <t>0x7136</t>
  </si>
  <si>
    <t>QK_MIDI_NOTE_E_4</t>
  </si>
  <si>
    <t>0x7137</t>
  </si>
  <si>
    <t>QK_MIDI_NOTE_F_4</t>
  </si>
  <si>
    <t>0x7138</t>
  </si>
  <si>
    <t>QK_MIDI_NOTE_F_SHARP_4</t>
  </si>
  <si>
    <t>0x7139</t>
  </si>
  <si>
    <t>QK_MIDI_NOTE_G_4</t>
  </si>
  <si>
    <t>0x713A</t>
  </si>
  <si>
    <t>QK_MIDI_NOTE_G_SHARP_4</t>
  </si>
  <si>
    <t>0x713B</t>
  </si>
  <si>
    <t>QK_MIDI_NOTE_A_4</t>
  </si>
  <si>
    <t>0x713C</t>
  </si>
  <si>
    <t>QK_MIDI_NOTE_A_SHARP_4</t>
  </si>
  <si>
    <t>0x713D</t>
  </si>
  <si>
    <t>QK_MIDI_NOTE_B_4</t>
  </si>
  <si>
    <t>0x713E</t>
  </si>
  <si>
    <t>QK_MIDI_NOTE_C_5</t>
  </si>
  <si>
    <t>0x713F</t>
  </si>
  <si>
    <t>QK_MIDI_NOTE_C_SHARP_5</t>
  </si>
  <si>
    <t>0x7140</t>
  </si>
  <si>
    <t>QK_MIDI_NOTE_D_5</t>
  </si>
  <si>
    <t>0x7141</t>
  </si>
  <si>
    <t>QK_MIDI_NOTE_D_SHARP_5</t>
  </si>
  <si>
    <t>0x7142</t>
  </si>
  <si>
    <t>QK_MIDI_NOTE_E_5</t>
  </si>
  <si>
    <t>0x7143</t>
  </si>
  <si>
    <t>QK_MIDI_NOTE_F_5</t>
  </si>
  <si>
    <t>0x7144</t>
  </si>
  <si>
    <t>QK_MIDI_NOTE_F_SHARP_5</t>
  </si>
  <si>
    <t>0x7145</t>
  </si>
  <si>
    <t>QK_MIDI_NOTE_G_5</t>
  </si>
  <si>
    <t>0x7146</t>
  </si>
  <si>
    <t>QK_MIDI_NOTE_G_SHARP_5</t>
  </si>
  <si>
    <t>0x7147</t>
  </si>
  <si>
    <t>QK_MIDI_NOTE_A_5</t>
  </si>
  <si>
    <t>0x7148</t>
  </si>
  <si>
    <t>QK_MIDI_NOTE_A_SHARP_5</t>
  </si>
  <si>
    <t>0x7149</t>
  </si>
  <si>
    <t>QK_MIDI_NOTE_B_5</t>
  </si>
  <si>
    <t>0x714A</t>
  </si>
  <si>
    <t>QK_MIDI_OCTAVE_N2</t>
  </si>
  <si>
    <t>0x714B</t>
  </si>
  <si>
    <t>QK_MIDI_OCTAVE_N1</t>
  </si>
  <si>
    <t>0x714C</t>
  </si>
  <si>
    <t>QK_MIDI_OCTAVE_0</t>
  </si>
  <si>
    <t>0x714D</t>
  </si>
  <si>
    <t>QK_MIDI_OCTAVE_1</t>
  </si>
  <si>
    <t>0x714E</t>
  </si>
  <si>
    <t>QK_MIDI_OCTAVE_2</t>
  </si>
  <si>
    <t>0x714F</t>
  </si>
  <si>
    <t>QK_MIDI_OCTAVE_3</t>
  </si>
  <si>
    <t>0x7150</t>
  </si>
  <si>
    <t>QK_MIDI_OCTAVE_4</t>
  </si>
  <si>
    <t>0x7151</t>
  </si>
  <si>
    <t>QK_MIDI_OCTAVE_5</t>
  </si>
  <si>
    <t>0x7152</t>
  </si>
  <si>
    <t>QK_MIDI_OCTAVE_6</t>
  </si>
  <si>
    <t>0x7153</t>
  </si>
  <si>
    <t>QK_MIDI_OCTAVE_7</t>
  </si>
  <si>
    <t>0x7154</t>
  </si>
  <si>
    <t>QK_MIDI_OCTAVE_DOWN</t>
  </si>
  <si>
    <t>0x7155</t>
  </si>
  <si>
    <t>QK_MIDI_OCTAVE_UP</t>
  </si>
  <si>
    <t>0x7156</t>
  </si>
  <si>
    <t>QK_MIDI_TRANSPOSE_N6</t>
  </si>
  <si>
    <t>0x7157</t>
  </si>
  <si>
    <t>QK_MIDI_TRANSPOSE_N5</t>
  </si>
  <si>
    <t>0x7158</t>
  </si>
  <si>
    <t>QK_MIDI_TRANSPOSE_N4</t>
  </si>
  <si>
    <t>0x7159</t>
  </si>
  <si>
    <t>QK_MIDI_TRANSPOSE_N3</t>
  </si>
  <si>
    <t>0x715A</t>
  </si>
  <si>
    <t>QK_MIDI_TRANSPOSE_N2</t>
  </si>
  <si>
    <t>0x715B</t>
  </si>
  <si>
    <t>QK_MIDI_TRANSPOSE_N1</t>
  </si>
  <si>
    <t>0x715C</t>
  </si>
  <si>
    <t>QK_MIDI_TRANSPOSE_0</t>
  </si>
  <si>
    <t>0x715D</t>
  </si>
  <si>
    <t>QK_MIDI_TRANSPOSE_1</t>
  </si>
  <si>
    <t>0x715E</t>
  </si>
  <si>
    <t>QK_MIDI_TRANSPOSE_2</t>
  </si>
  <si>
    <t>0x715F</t>
  </si>
  <si>
    <t>QK_MIDI_TRANSPOSE_3</t>
  </si>
  <si>
    <t>0x7160</t>
  </si>
  <si>
    <t>QK_MIDI_TRANSPOSE_4</t>
  </si>
  <si>
    <t>0x7161</t>
  </si>
  <si>
    <t>QK_MIDI_TRANSPOSE_5</t>
  </si>
  <si>
    <t>0x7162</t>
  </si>
  <si>
    <t>QK_MIDI_TRANSPOSE_6</t>
  </si>
  <si>
    <t>0x7163</t>
  </si>
  <si>
    <t>QK_MIDI_TRANSPOSE_DOWN</t>
  </si>
  <si>
    <t>0x7164</t>
  </si>
  <si>
    <t>QK_MIDI_TRANSPOSE_UP</t>
  </si>
  <si>
    <t>0x7165</t>
  </si>
  <si>
    <t>QK_MIDI_VELOCITY_0</t>
  </si>
  <si>
    <t>0x7166</t>
  </si>
  <si>
    <t>QK_MIDI_VELOCITY_1</t>
  </si>
  <si>
    <t>0x7167</t>
  </si>
  <si>
    <t>QK_MIDI_VELOCITY_2</t>
  </si>
  <si>
    <t>0x7168</t>
  </si>
  <si>
    <t>QK_MIDI_VELOCITY_3</t>
  </si>
  <si>
    <t>0x7169</t>
  </si>
  <si>
    <t>QK_MIDI_VELOCITY_4</t>
  </si>
  <si>
    <t>0x716A</t>
  </si>
  <si>
    <t>QK_MIDI_VELOCITY_5</t>
  </si>
  <si>
    <t>0x716B</t>
  </si>
  <si>
    <t>QK_MIDI_VELOCITY_6</t>
  </si>
  <si>
    <t>0x716C</t>
  </si>
  <si>
    <t>QK_MIDI_VELOCITY_7</t>
  </si>
  <si>
    <t>0x716D</t>
  </si>
  <si>
    <t>QK_MIDI_VELOCITY_8</t>
  </si>
  <si>
    <t>0x716E</t>
  </si>
  <si>
    <t>QK_MIDI_VELOCITY_9</t>
  </si>
  <si>
    <t>0x716F</t>
  </si>
  <si>
    <t>QK_MIDI_VELOCITY_10</t>
  </si>
  <si>
    <t>0x7170</t>
  </si>
  <si>
    <t>QK_MIDI_VELOCITY_DOWN</t>
  </si>
  <si>
    <t>0x7171</t>
  </si>
  <si>
    <t>QK_MIDI_VELOCITY_UP</t>
  </si>
  <si>
    <t>0x7172</t>
  </si>
  <si>
    <t>QK_MIDI_CHANNEL_1</t>
  </si>
  <si>
    <t>0x7173</t>
  </si>
  <si>
    <t>QK_MIDI_CHANNEL_2</t>
  </si>
  <si>
    <t>0x7174</t>
  </si>
  <si>
    <t>QK_MIDI_CHANNEL_3</t>
  </si>
  <si>
    <t>0x7175</t>
  </si>
  <si>
    <t>QK_MIDI_CHANNEL_4</t>
  </si>
  <si>
    <t>0x7176</t>
  </si>
  <si>
    <t>QK_MIDI_CHANNEL_5</t>
  </si>
  <si>
    <t>0x7177</t>
  </si>
  <si>
    <t>QK_MIDI_CHANNEL_6</t>
  </si>
  <si>
    <t>0x7178</t>
  </si>
  <si>
    <t>QK_MIDI_CHANNEL_7</t>
  </si>
  <si>
    <t>0x7179</t>
  </si>
  <si>
    <t>QK_MIDI_CHANNEL_8</t>
  </si>
  <si>
    <t>0x717A</t>
  </si>
  <si>
    <t>QK_MIDI_CHANNEL_9</t>
  </si>
  <si>
    <t>0x717B</t>
  </si>
  <si>
    <t>QK_MIDI_CHANNEL_10</t>
  </si>
  <si>
    <t>0x717C</t>
  </si>
  <si>
    <t>QK_MIDI_CHANNEL_11</t>
  </si>
  <si>
    <t>0x717D</t>
  </si>
  <si>
    <t>QK_MIDI_CHANNEL_12</t>
  </si>
  <si>
    <t>0x717E</t>
  </si>
  <si>
    <t>QK_MIDI_CHANNEL_13</t>
  </si>
  <si>
    <t>0x717F</t>
  </si>
  <si>
    <t>QK_MIDI_CHANNEL_14</t>
  </si>
  <si>
    <t>0x7180</t>
  </si>
  <si>
    <t>QK_MIDI_CHANNEL_15</t>
  </si>
  <si>
    <t>0x7181</t>
  </si>
  <si>
    <t>QK_MIDI_CHANNEL_16</t>
  </si>
  <si>
    <t>0x7182</t>
  </si>
  <si>
    <t>QK_MIDI_CHANNEL_DOWN</t>
  </si>
  <si>
    <t>0x7183</t>
  </si>
  <si>
    <t>QK_MIDI_CHANNEL_UP</t>
  </si>
  <si>
    <t>0x7184</t>
  </si>
  <si>
    <t>QK_MIDI_ALL_NOTES_OFF</t>
  </si>
  <si>
    <t>0x7185</t>
  </si>
  <si>
    <t>QK_MIDI_SUSTAIN</t>
  </si>
  <si>
    <t>0x7186</t>
  </si>
  <si>
    <t>QK_MIDI_PORTAMENTO</t>
  </si>
  <si>
    <t>0x7187</t>
  </si>
  <si>
    <t>QK_MIDI_SOSTENUTO</t>
  </si>
  <si>
    <t>0x7188</t>
  </si>
  <si>
    <t>QK_MIDI_SOFT</t>
  </si>
  <si>
    <t>0x7189</t>
  </si>
  <si>
    <t>QK_MIDI_LEGATO</t>
  </si>
  <si>
    <t>0x718A</t>
  </si>
  <si>
    <t>QK_MIDI_MODULATION</t>
  </si>
  <si>
    <t>0x718B</t>
  </si>
  <si>
    <t>QK_MIDI_MODULATION_SPEED_DOWN</t>
  </si>
  <si>
    <t>0x718C</t>
  </si>
  <si>
    <t>QK_MIDI_MODULATION_SPEED_UP</t>
  </si>
  <si>
    <t>0x718D</t>
  </si>
  <si>
    <t>QK_MIDI_PITCH_BEND_DOWN</t>
  </si>
  <si>
    <t>0x718E</t>
  </si>
  <si>
    <t>QK_MIDI_PITCH_BEND_UP</t>
  </si>
  <si>
    <t>0x718F</t>
  </si>
  <si>
    <t>QK_SEQUENCER_ON</t>
  </si>
  <si>
    <t>0x7200</t>
  </si>
  <si>
    <t>QK_SEQUENCER_OFF</t>
  </si>
  <si>
    <t>0x7201</t>
  </si>
  <si>
    <t>QK_SEQUENCER_TOGGLE</t>
  </si>
  <si>
    <t>0x7202</t>
  </si>
  <si>
    <t>QK_SEQUENCER_TEMPO_DOWN</t>
  </si>
  <si>
    <t>0x7203</t>
  </si>
  <si>
    <t>QK_SEQUENCER_TEMPO_UP</t>
  </si>
  <si>
    <t>0x7204</t>
  </si>
  <si>
    <t>QK_SEQUENCER_RESOLUTION_DOWN</t>
  </si>
  <si>
    <t>0x7205</t>
  </si>
  <si>
    <t>QK_SEQUENCER_RESOLUTION_UP</t>
  </si>
  <si>
    <t>0x7206</t>
  </si>
  <si>
    <t>QK_SEQUENCER_STEPS_ALL</t>
  </si>
  <si>
    <t>0x7207</t>
  </si>
  <si>
    <t>QK_SEQUENCER_STEPS_CLEAR</t>
  </si>
  <si>
    <t>0x7208</t>
  </si>
  <si>
    <t>QK_JOYSTICK_BUTTON_0</t>
  </si>
  <si>
    <t>0x7400</t>
  </si>
  <si>
    <t>QK_JOYSTICK_BUTTON_1</t>
  </si>
  <si>
    <t>0x7401</t>
  </si>
  <si>
    <t>QK_JOYSTICK_BUTTON_2</t>
  </si>
  <si>
    <t>0x7402</t>
  </si>
  <si>
    <t>QK_JOYSTICK_BUTTON_3</t>
  </si>
  <si>
    <t>0x7403</t>
  </si>
  <si>
    <t>QK_JOYSTICK_BUTTON_4</t>
  </si>
  <si>
    <t>0x7404</t>
  </si>
  <si>
    <t>QK_JOYSTICK_BUTTON_5</t>
  </si>
  <si>
    <t>0x7405</t>
  </si>
  <si>
    <t>QK_JOYSTICK_BUTTON_6</t>
  </si>
  <si>
    <t>0x7406</t>
  </si>
  <si>
    <t>QK_JOYSTICK_BUTTON_7</t>
  </si>
  <si>
    <t>0x7407</t>
  </si>
  <si>
    <t>QK_JOYSTICK_BUTTON_8</t>
  </si>
  <si>
    <t>0x7408</t>
  </si>
  <si>
    <t>QK_JOYSTICK_BUTTON_9</t>
  </si>
  <si>
    <t>0x7409</t>
  </si>
  <si>
    <t>QK_JOYSTICK_BUTTON_10</t>
  </si>
  <si>
    <t>0x740A</t>
  </si>
  <si>
    <t>QK_JOYSTICK_BUTTON_11</t>
  </si>
  <si>
    <t>0x740B</t>
  </si>
  <si>
    <t>QK_JOYSTICK_BUTTON_12</t>
  </si>
  <si>
    <t>0x740C</t>
  </si>
  <si>
    <t>QK_JOYSTICK_BUTTON_13</t>
  </si>
  <si>
    <t>0x740D</t>
  </si>
  <si>
    <t>QK_JOYSTICK_BUTTON_14</t>
  </si>
  <si>
    <t>0x740E</t>
  </si>
  <si>
    <t>QK_JOYSTICK_BUTTON_15</t>
  </si>
  <si>
    <t>0x740F</t>
  </si>
  <si>
    <t>QK_JOYSTICK_BUTTON_16</t>
  </si>
  <si>
    <t>0x7410</t>
  </si>
  <si>
    <t>QK_JOYSTICK_BUTTON_17</t>
  </si>
  <si>
    <t>0x7411</t>
  </si>
  <si>
    <t>QK_JOYSTICK_BUTTON_18</t>
  </si>
  <si>
    <t>0x7412</t>
  </si>
  <si>
    <t>QK_JOYSTICK_BUTTON_19</t>
  </si>
  <si>
    <t>0x7413</t>
  </si>
  <si>
    <t>QK_JOYSTICK_BUTTON_20</t>
  </si>
  <si>
    <t>0x7414</t>
  </si>
  <si>
    <t>QK_JOYSTICK_BUTTON_21</t>
  </si>
  <si>
    <t>0x7415</t>
  </si>
  <si>
    <t>QK_JOYSTICK_BUTTON_22</t>
  </si>
  <si>
    <t>0x7416</t>
  </si>
  <si>
    <t>QK_JOYSTICK_BUTTON_23</t>
  </si>
  <si>
    <t>0x7417</t>
  </si>
  <si>
    <t>QK_JOYSTICK_BUTTON_24</t>
  </si>
  <si>
    <t>0x7418</t>
  </si>
  <si>
    <t>QK_JOYSTICK_BUTTON_25</t>
  </si>
  <si>
    <t>0x7419</t>
  </si>
  <si>
    <t>QK_JOYSTICK_BUTTON_26</t>
  </si>
  <si>
    <t>0x741A</t>
  </si>
  <si>
    <t>QK_JOYSTICK_BUTTON_27</t>
  </si>
  <si>
    <t>0x741B</t>
  </si>
  <si>
    <t>QK_JOYSTICK_BUTTON_28</t>
  </si>
  <si>
    <t>0x741C</t>
  </si>
  <si>
    <t>QK_JOYSTICK_BUTTON_29</t>
  </si>
  <si>
    <t>0x741D</t>
  </si>
  <si>
    <t>QK_JOYSTICK_BUTTON_30</t>
  </si>
  <si>
    <t>0x741E</t>
  </si>
  <si>
    <t>QK_JOYSTICK_BUTTON_31</t>
  </si>
  <si>
    <t>0x741F</t>
  </si>
  <si>
    <t>QK_PROGRAMMABLE_BUTTON_1</t>
  </si>
  <si>
    <t>0x7440</t>
  </si>
  <si>
    <t>QK_PROGRAMMABLE_BUTTON_2</t>
  </si>
  <si>
    <t>0x7441</t>
  </si>
  <si>
    <t>QK_PROGRAMMABLE_BUTTON_3</t>
  </si>
  <si>
    <t>0x7442</t>
  </si>
  <si>
    <t>QK_PROGRAMMABLE_BUTTON_4</t>
  </si>
  <si>
    <t>0x7443</t>
  </si>
  <si>
    <t>QK_PROGRAMMABLE_BUTTON_5</t>
  </si>
  <si>
    <t>0x7444</t>
  </si>
  <si>
    <t>QK_PROGRAMMABLE_BUTTON_6</t>
  </si>
  <si>
    <t>0x7445</t>
  </si>
  <si>
    <t>QK_PROGRAMMABLE_BUTTON_7</t>
  </si>
  <si>
    <t>0x7446</t>
  </si>
  <si>
    <t>QK_PROGRAMMABLE_BUTTON_8</t>
  </si>
  <si>
    <t>0x7447</t>
  </si>
  <si>
    <t>QK_PROGRAMMABLE_BUTTON_9</t>
  </si>
  <si>
    <t>0x7448</t>
  </si>
  <si>
    <t>QK_PROGRAMMABLE_BUTTON_10</t>
  </si>
  <si>
    <t>0x7449</t>
  </si>
  <si>
    <t>QK_PROGRAMMABLE_BUTTON_11</t>
  </si>
  <si>
    <t>0x744A</t>
  </si>
  <si>
    <t>QK_PROGRAMMABLE_BUTTON_12</t>
  </si>
  <si>
    <t>0x744B</t>
  </si>
  <si>
    <t>QK_PROGRAMMABLE_BUTTON_13</t>
  </si>
  <si>
    <t>0x744C</t>
  </si>
  <si>
    <t>QK_PROGRAMMABLE_BUTTON_14</t>
  </si>
  <si>
    <t>0x744D</t>
  </si>
  <si>
    <t>QK_PROGRAMMABLE_BUTTON_15</t>
  </si>
  <si>
    <t>0x744E</t>
  </si>
  <si>
    <t>QK_PROGRAMMABLE_BUTTON_16</t>
  </si>
  <si>
    <t>0x744F</t>
  </si>
  <si>
    <t>QK_PROGRAMMABLE_BUTTON_17</t>
  </si>
  <si>
    <t>0x7450</t>
  </si>
  <si>
    <t>QK_PROGRAMMABLE_BUTTON_18</t>
  </si>
  <si>
    <t>0x7451</t>
  </si>
  <si>
    <t>QK_PROGRAMMABLE_BUTTON_19</t>
  </si>
  <si>
    <t>0x7452</t>
  </si>
  <si>
    <t>QK_PROGRAMMABLE_BUTTON_20</t>
  </si>
  <si>
    <t>0x7453</t>
  </si>
  <si>
    <t>QK_PROGRAMMABLE_BUTTON_21</t>
  </si>
  <si>
    <t>0x7454</t>
  </si>
  <si>
    <t>QK_PROGRAMMABLE_BUTTON_22</t>
  </si>
  <si>
    <t>0x7455</t>
  </si>
  <si>
    <t>QK_PROGRAMMABLE_BUTTON_23</t>
  </si>
  <si>
    <t>0x7456</t>
  </si>
  <si>
    <t>QK_PROGRAMMABLE_BUTTON_24</t>
  </si>
  <si>
    <t>0x7457</t>
  </si>
  <si>
    <t>QK_PROGRAMMABLE_BUTTON_25</t>
  </si>
  <si>
    <t>0x7458</t>
  </si>
  <si>
    <t>QK_PROGRAMMABLE_BUTTON_26</t>
  </si>
  <si>
    <t>0x7459</t>
  </si>
  <si>
    <t>QK_PROGRAMMABLE_BUTTON_27</t>
  </si>
  <si>
    <t>0x745A</t>
  </si>
  <si>
    <t>QK_PROGRAMMABLE_BUTTON_28</t>
  </si>
  <si>
    <t>0x745B</t>
  </si>
  <si>
    <t>QK_PROGRAMMABLE_BUTTON_29</t>
  </si>
  <si>
    <t>0x745C</t>
  </si>
  <si>
    <t>QK_PROGRAMMABLE_BUTTON_30</t>
  </si>
  <si>
    <t>0x745D</t>
  </si>
  <si>
    <t>QK_PROGRAMMABLE_BUTTON_31</t>
  </si>
  <si>
    <t>0x745E</t>
  </si>
  <si>
    <t>QK_PROGRAMMABLE_BUTTON_32</t>
  </si>
  <si>
    <t>0x745F</t>
  </si>
  <si>
    <t>QK_AUDIO_ON</t>
  </si>
  <si>
    <t>0x7480</t>
  </si>
  <si>
    <t>QK_AUDIO_OFF</t>
  </si>
  <si>
    <t>0x7481</t>
  </si>
  <si>
    <t>QK_AUDIO_TOGGLE</t>
  </si>
  <si>
    <t>0x7482</t>
  </si>
  <si>
    <t>QK_AUDIO_CLICKY_TOGGLE</t>
  </si>
  <si>
    <t>0x748A</t>
  </si>
  <si>
    <t>QK_AUDIO_CLICKY_ON</t>
  </si>
  <si>
    <t>0x748B</t>
  </si>
  <si>
    <t>QK_AUDIO_CLICKY_OFF</t>
  </si>
  <si>
    <t>0x748C</t>
  </si>
  <si>
    <t>QK_AUDIO_CLICKY_UP</t>
  </si>
  <si>
    <t>0x748D</t>
  </si>
  <si>
    <t>QK_AUDIO_CLICKY_DOWN</t>
  </si>
  <si>
    <t>0x748E</t>
  </si>
  <si>
    <t>QK_AUDIO_CLICKY_RESET</t>
  </si>
  <si>
    <t>0x748F</t>
  </si>
  <si>
    <t>QK_MUSIC_ON</t>
  </si>
  <si>
    <t>0x7490</t>
  </si>
  <si>
    <t>QK_MUSIC_OFF</t>
  </si>
  <si>
    <t>0x7491</t>
  </si>
  <si>
    <t>QK_MUSIC_TOGGLE</t>
  </si>
  <si>
    <t>0x7492</t>
  </si>
  <si>
    <t>QK_MUSIC_MODE_NEXT</t>
  </si>
  <si>
    <t>0x7493</t>
  </si>
  <si>
    <t>QK_AUDIO_VOICE_NEXT</t>
  </si>
  <si>
    <t>0x7494</t>
  </si>
  <si>
    <t>QK_AUDIO_VOICE_PREVIOUS</t>
  </si>
  <si>
    <t>0x7495</t>
  </si>
  <si>
    <t>QK_STENO_BOLT</t>
  </si>
  <si>
    <t>0x74F0</t>
  </si>
  <si>
    <t>QK_STENO_GEMINI</t>
  </si>
  <si>
    <t>0x74F1</t>
  </si>
  <si>
    <t>QK_STENO_COMB</t>
  </si>
  <si>
    <t>0x74F2</t>
  </si>
  <si>
    <t>QK_STENO_COMB_MAX</t>
  </si>
  <si>
    <t>0x74FC</t>
  </si>
  <si>
    <t>QK_MACRO_0</t>
  </si>
  <si>
    <t>0x7700</t>
  </si>
  <si>
    <t>QK_MACRO_1</t>
  </si>
  <si>
    <t>0x7701</t>
  </si>
  <si>
    <t>QK_MACRO_2</t>
  </si>
  <si>
    <t>0x7702</t>
  </si>
  <si>
    <t>QK_MACRO_3</t>
  </si>
  <si>
    <t>0x7703</t>
  </si>
  <si>
    <t>QK_MACRO_4</t>
  </si>
  <si>
    <t>0x7704</t>
  </si>
  <si>
    <t>QK_MACRO_5</t>
  </si>
  <si>
    <t>0x7705</t>
  </si>
  <si>
    <t>QK_MACRO_6</t>
  </si>
  <si>
    <t>0x7706</t>
  </si>
  <si>
    <t>QK_MACRO_7</t>
  </si>
  <si>
    <t>0x7707</t>
  </si>
  <si>
    <t>QK_MACRO_8</t>
  </si>
  <si>
    <t>0x7708</t>
  </si>
  <si>
    <t>QK_MACRO_9</t>
  </si>
  <si>
    <t>0x7709</t>
  </si>
  <si>
    <t>QK_MACRO_10</t>
  </si>
  <si>
    <t>0x770A</t>
  </si>
  <si>
    <t>QK_MACRO_11</t>
  </si>
  <si>
    <t>0x770B</t>
  </si>
  <si>
    <t>QK_MACRO_12</t>
  </si>
  <si>
    <t>0x770C</t>
  </si>
  <si>
    <t>QK_MACRO_13</t>
  </si>
  <si>
    <t>0x770D</t>
  </si>
  <si>
    <t>QK_MACRO_14</t>
  </si>
  <si>
    <t>0x770E</t>
  </si>
  <si>
    <t>QK_MACRO_15</t>
  </si>
  <si>
    <t>0x770F</t>
  </si>
  <si>
    <t>QK_MACRO_16</t>
  </si>
  <si>
    <t>0x7710</t>
  </si>
  <si>
    <t>QK_MACRO_17</t>
  </si>
  <si>
    <t>0x7711</t>
  </si>
  <si>
    <t>QK_MACRO_18</t>
  </si>
  <si>
    <t>0x7712</t>
  </si>
  <si>
    <t>QK_MACRO_19</t>
  </si>
  <si>
    <t>0x7713</t>
  </si>
  <si>
    <t>QK_MACRO_20</t>
  </si>
  <si>
    <t>0x7714</t>
  </si>
  <si>
    <t>QK_MACRO_21</t>
  </si>
  <si>
    <t>0x7715</t>
  </si>
  <si>
    <t>QK_MACRO_22</t>
  </si>
  <si>
    <t>0x7716</t>
  </si>
  <si>
    <t>QK_MACRO_23</t>
  </si>
  <si>
    <t>0x7717</t>
  </si>
  <si>
    <t>QK_MACRO_24</t>
  </si>
  <si>
    <t>0x7718</t>
  </si>
  <si>
    <t>QK_MACRO_25</t>
  </si>
  <si>
    <t>0x7719</t>
  </si>
  <si>
    <t>QK_MACRO_26</t>
  </si>
  <si>
    <t>0x771A</t>
  </si>
  <si>
    <t>QK_MACRO_27</t>
  </si>
  <si>
    <t>0x771B</t>
  </si>
  <si>
    <t>QK_MACRO_28</t>
  </si>
  <si>
    <t>0x771C</t>
  </si>
  <si>
    <t>QK_MACRO_29</t>
  </si>
  <si>
    <t>0x771D</t>
  </si>
  <si>
    <t>QK_MACRO_30</t>
  </si>
  <si>
    <t>0x771E</t>
  </si>
  <si>
    <t>QK_MACRO_31</t>
  </si>
  <si>
    <t>0x771F</t>
  </si>
  <si>
    <t>QK_OUTPUT_AUTO</t>
  </si>
  <si>
    <t>0x7780</t>
  </si>
  <si>
    <t>QK_OUTPUT_NEXT</t>
  </si>
  <si>
    <t>0x7781</t>
  </si>
  <si>
    <t>QK_OUTPUT_PREV</t>
  </si>
  <si>
    <t>0x7782</t>
  </si>
  <si>
    <t>QK_OUTPUT_NONE</t>
  </si>
  <si>
    <t>0x7783</t>
  </si>
  <si>
    <t>QK_OUTPUT_USB</t>
  </si>
  <si>
    <t>0x7784</t>
  </si>
  <si>
    <t>QK_OUTPUT_2P4GHZ</t>
  </si>
  <si>
    <t>0x7785</t>
  </si>
  <si>
    <t>QK_OUTPUT_BLUETOOTH</t>
  </si>
  <si>
    <t>0x7786</t>
  </si>
  <si>
    <t>QK_BLUETOOTH_PROFILE_NEXT</t>
  </si>
  <si>
    <t>0x7790</t>
  </si>
  <si>
    <t>QK_BLUETOOTH_PROFILE_PREV</t>
  </si>
  <si>
    <t>0x7791</t>
  </si>
  <si>
    <t>QK_BLUETOOTH_UNPAIR</t>
  </si>
  <si>
    <t>0x7792</t>
  </si>
  <si>
    <t>QK_BLUETOOTH_PROFILE1</t>
  </si>
  <si>
    <t>0x7793</t>
  </si>
  <si>
    <t>QK_BLUETOOTH_PROFILE2</t>
  </si>
  <si>
    <t>0x7794</t>
  </si>
  <si>
    <t>QK_BLUETOOTH_PROFILE3</t>
  </si>
  <si>
    <t>0x7795</t>
  </si>
  <si>
    <t>QK_BLUETOOTH_PROFILE4</t>
  </si>
  <si>
    <t>0x7796</t>
  </si>
  <si>
    <t>QK_BLUETOOTH_PROFILE5</t>
  </si>
  <si>
    <t>0x7797</t>
  </si>
  <si>
    <t>QK_BACKLIGHT_ON</t>
  </si>
  <si>
    <t>0x7800</t>
  </si>
  <si>
    <t>QK_BACKLIGHT_OFF</t>
  </si>
  <si>
    <t>0x7801</t>
  </si>
  <si>
    <t>QK_BACKLIGHT_TOGGLE</t>
  </si>
  <si>
    <t>0x7802</t>
  </si>
  <si>
    <t>QK_BACKLIGHT_DOWN</t>
  </si>
  <si>
    <t>0x7803</t>
  </si>
  <si>
    <t>QK_BACKLIGHT_UP</t>
  </si>
  <si>
    <t>0x7804</t>
  </si>
  <si>
    <t>QK_BACKLIGHT_STEP</t>
  </si>
  <si>
    <t>0x7805</t>
  </si>
  <si>
    <t>QK_BACKLIGHT_TOGGLE_BREATHING</t>
  </si>
  <si>
    <t>0x7806</t>
  </si>
  <si>
    <t>QK_LED_MATRIX_ON</t>
  </si>
  <si>
    <t>0x7810</t>
  </si>
  <si>
    <t>QK_LED_MATRIX_OFF</t>
  </si>
  <si>
    <t>0x7811</t>
  </si>
  <si>
    <t>QK_LED_MATRIX_TOGGLE</t>
  </si>
  <si>
    <t>0x7812</t>
  </si>
  <si>
    <t>QK_LED_MATRIX_MODE_NEXT</t>
  </si>
  <si>
    <t>0x7813</t>
  </si>
  <si>
    <t>QK_LED_MATRIX_MODE_PREVIOUS</t>
  </si>
  <si>
    <t>0x7814</t>
  </si>
  <si>
    <t>QK_LED_MATRIX_BRIGHTNESS_UP</t>
  </si>
  <si>
    <t>0x7815</t>
  </si>
  <si>
    <t>QK_LED_MATRIX_BRIGHTNESS_DOWN</t>
  </si>
  <si>
    <t>0x7816</t>
  </si>
  <si>
    <t>QK_LED_MATRIX_SPEED_UP</t>
  </si>
  <si>
    <t>0x7817</t>
  </si>
  <si>
    <t>QK_LED_MATRIX_SPEED_DOWN</t>
  </si>
  <si>
    <t>0x7818</t>
  </si>
  <si>
    <t>QK_LED_MATRIX_FLAG_NEXT</t>
  </si>
  <si>
    <t>0x7819</t>
  </si>
  <si>
    <t>QK_LED_MATRIX_FLAG_PREVIOUS</t>
  </si>
  <si>
    <t>0x781A</t>
  </si>
  <si>
    <t>QK_UNDERGLOW_TOGGLE</t>
  </si>
  <si>
    <t>0x7820</t>
  </si>
  <si>
    <t>QK_UNDERGLOW_MODE_NEXT</t>
  </si>
  <si>
    <t>0x7821</t>
  </si>
  <si>
    <t>QK_UNDERGLOW_MODE_PREVIOUS</t>
  </si>
  <si>
    <t>0x7822</t>
  </si>
  <si>
    <t>QK_UNDERGLOW_HUE_UP</t>
  </si>
  <si>
    <t>0x7823</t>
  </si>
  <si>
    <t>QK_UNDERGLOW_HUE_DOWN</t>
  </si>
  <si>
    <t>0x7824</t>
  </si>
  <si>
    <t>QK_UNDERGLOW_SATURATION_UP</t>
  </si>
  <si>
    <t>0x7825</t>
  </si>
  <si>
    <t>QK_UNDERGLOW_SATURATION_DOWN</t>
  </si>
  <si>
    <t>0x7826</t>
  </si>
  <si>
    <t>QK_UNDERGLOW_VALUE_UP</t>
  </si>
  <si>
    <t>0x7827</t>
  </si>
  <si>
    <t>QK_UNDERGLOW_VALUE_DOWN</t>
  </si>
  <si>
    <t>0x7828</t>
  </si>
  <si>
    <t>QK_UNDERGLOW_SPEED_UP</t>
  </si>
  <si>
    <t>0x7829</t>
  </si>
  <si>
    <t>QK_UNDERGLOW_SPEED_DOWN</t>
  </si>
  <si>
    <t>0x782A</t>
  </si>
  <si>
    <t>RGB_MODE_PLAIN</t>
  </si>
  <si>
    <t>0x782B</t>
  </si>
  <si>
    <t>RGB_MODE_BREATHE</t>
  </si>
  <si>
    <t>0x782C</t>
  </si>
  <si>
    <t>RGB_MODE_RAINBOW</t>
  </si>
  <si>
    <t>0x782D</t>
  </si>
  <si>
    <t>RGB_MODE_SWIRL</t>
  </si>
  <si>
    <t>0x782E</t>
  </si>
  <si>
    <t>RGB_MODE_SNAKE</t>
  </si>
  <si>
    <t>0x782F</t>
  </si>
  <si>
    <t>RGB_MODE_KNIGHT</t>
  </si>
  <si>
    <t>0x7830</t>
  </si>
  <si>
    <t>RGB_MODE_XMAS</t>
  </si>
  <si>
    <t>0x7831</t>
  </si>
  <si>
    <t>RGB_MODE_GRADIENT</t>
  </si>
  <si>
    <t>0x7832</t>
  </si>
  <si>
    <t>RGB_MODE_RGBTEST</t>
  </si>
  <si>
    <t>0x7833</t>
  </si>
  <si>
    <t>RGB_MODE_TWINKLE</t>
  </si>
  <si>
    <t>0x7834</t>
  </si>
  <si>
    <t>QK_RGB_MATRIX_ON</t>
  </si>
  <si>
    <t>0x7840</t>
  </si>
  <si>
    <t>QK_RGB_MATRIX_OFF</t>
  </si>
  <si>
    <t>0x7841</t>
  </si>
  <si>
    <t>QK_RGB_MATRIX_TOGGLE</t>
  </si>
  <si>
    <t>0x7842</t>
  </si>
  <si>
    <t>QK_RGB_MATRIX_MODE_NEXT</t>
  </si>
  <si>
    <t>0x7843</t>
  </si>
  <si>
    <t>QK_RGB_MATRIX_MODE_PREVIOUS</t>
  </si>
  <si>
    <t>0x7844</t>
  </si>
  <si>
    <t>QK_RGB_MATRIX_HUE_UP</t>
  </si>
  <si>
    <t>0x7845</t>
  </si>
  <si>
    <t>QK_RGB_MATRIX_HUE_DOWN</t>
  </si>
  <si>
    <t>0x7846</t>
  </si>
  <si>
    <t>QK_RGB_MATRIX_SATURATION_UP</t>
  </si>
  <si>
    <t>0x7847</t>
  </si>
  <si>
    <t>QK_RGB_MATRIX_SATURATION_DOWN</t>
  </si>
  <si>
    <t>0x7848</t>
  </si>
  <si>
    <t>QK_RGB_MATRIX_VALUE_UP</t>
  </si>
  <si>
    <t>0x7849</t>
  </si>
  <si>
    <t>QK_RGB_MATRIX_VALUE_DOWN</t>
  </si>
  <si>
    <t>0x784A</t>
  </si>
  <si>
    <t>QK_RGB_MATRIX_SPEED_UP</t>
  </si>
  <si>
    <t>0x784B</t>
  </si>
  <si>
    <t>QK_RGB_MATRIX_SPEED_DOWN</t>
  </si>
  <si>
    <t>0x784C</t>
  </si>
  <si>
    <t>QK_RGB_MATRIX_FLAG_NEXT</t>
  </si>
  <si>
    <t>0x784D</t>
  </si>
  <si>
    <t>QK_RGB_MATRIX_FLAG_PREVIOUS</t>
  </si>
  <si>
    <t>0x784E</t>
  </si>
  <si>
    <t>QK_BOOTLOADER</t>
  </si>
  <si>
    <t>0x7C00</t>
  </si>
  <si>
    <t>QK_REBOOT</t>
  </si>
  <si>
    <t>0x7C01</t>
  </si>
  <si>
    <t>QK_DEBUG_TOGGLE</t>
  </si>
  <si>
    <t>0x7C02</t>
  </si>
  <si>
    <t>QK_CLEAR_EEPROM</t>
  </si>
  <si>
    <t>0x7C03</t>
  </si>
  <si>
    <t>QK_MAKE</t>
  </si>
  <si>
    <t>0x7C04</t>
  </si>
  <si>
    <t>QK_AUTO_SHIFT_DOWN</t>
  </si>
  <si>
    <t>0x7C10</t>
  </si>
  <si>
    <t>QK_AUTO_SHIFT_UP</t>
  </si>
  <si>
    <t>0x7C11</t>
  </si>
  <si>
    <t>QK_AUTO_SHIFT_REPORT</t>
  </si>
  <si>
    <t>0x7C12</t>
  </si>
  <si>
    <t>QK_AUTO_SHIFT_ON</t>
  </si>
  <si>
    <t>0x7C13</t>
  </si>
  <si>
    <t>QK_AUTO_SHIFT_OFF</t>
  </si>
  <si>
    <t>0x7C14</t>
  </si>
  <si>
    <t>QK_AUTO_SHIFT_TOGGLE</t>
  </si>
  <si>
    <t>0x7C15</t>
  </si>
  <si>
    <t>QK_GRAVE_ESCAPE</t>
  </si>
  <si>
    <t>0x7C16</t>
  </si>
  <si>
    <t>QK_VELOCIKEY_TOGGLE</t>
  </si>
  <si>
    <t>0x7C17</t>
  </si>
  <si>
    <t>QK_SPACE_CADET_LEFT_CTRL_PARENTHESIS_OPEN</t>
  </si>
  <si>
    <t>0x7C18</t>
  </si>
  <si>
    <t>QK_SPACE_CADET_RIGHT_CTRL_PARENTHESIS_CLOSE</t>
  </si>
  <si>
    <t>0x7C19</t>
  </si>
  <si>
    <t>QK_SPACE_CADET_LEFT_SHIFT_PARENTHESIS_OPEN</t>
  </si>
  <si>
    <t>0x7C1A</t>
  </si>
  <si>
    <t>QK_SPACE_CADET_RIGHT_SHIFT_PARENTHESIS_CLOSE</t>
  </si>
  <si>
    <t>0x7C1B</t>
  </si>
  <si>
    <t>QK_SPACE_CADET_LEFT_ALT_PARENTHESIS_OPEN</t>
  </si>
  <si>
    <t>0x7C1C</t>
  </si>
  <si>
    <t>QK_SPACE_CADET_RIGHT_ALT_PARENTHESIS_CLOSE</t>
  </si>
  <si>
    <t>0x7C1D</t>
  </si>
  <si>
    <t>QK_SPACE_CADET_RIGHT_SHIFT_ENTER</t>
  </si>
  <si>
    <t>0x7C1E</t>
  </si>
  <si>
    <t>QK_UNICODE_MODE_NEXT</t>
  </si>
  <si>
    <t>0x7C30</t>
  </si>
  <si>
    <t>QK_UNICODE_MODE_PREVIOUS</t>
  </si>
  <si>
    <t>0x7C31</t>
  </si>
  <si>
    <t>QK_UNICODE_MODE_MACOS</t>
  </si>
  <si>
    <t>0x7C32</t>
  </si>
  <si>
    <t>QK_UNICODE_MODE_LINUX</t>
  </si>
  <si>
    <t>0x7C33</t>
  </si>
  <si>
    <t>QK_UNICODE_MODE_WINDOWS</t>
  </si>
  <si>
    <t>0x7C34</t>
  </si>
  <si>
    <t>QK_UNICODE_MODE_BSD</t>
  </si>
  <si>
    <t>0x7C35</t>
  </si>
  <si>
    <t>QK_UNICODE_MODE_WINCOMPOSE</t>
  </si>
  <si>
    <t>0x7C36</t>
  </si>
  <si>
    <t>QK_UNICODE_MODE_EMACS</t>
  </si>
  <si>
    <t>0x7C37</t>
  </si>
  <si>
    <t>QK_HAPTIC_ON</t>
  </si>
  <si>
    <t>0x7C40</t>
  </si>
  <si>
    <t>QK_HAPTIC_OFF</t>
  </si>
  <si>
    <t>0x7C41</t>
  </si>
  <si>
    <t>QK_HAPTIC_TOGGLE</t>
  </si>
  <si>
    <t>0x7C42</t>
  </si>
  <si>
    <t>QK_HAPTIC_RESET</t>
  </si>
  <si>
    <t>0x7C43</t>
  </si>
  <si>
    <t>QK_HAPTIC_FEEDBACK_TOGGLE</t>
  </si>
  <si>
    <t>0x7C44</t>
  </si>
  <si>
    <t>QK_HAPTIC_BUZZ_TOGGLE</t>
  </si>
  <si>
    <t>0x7C45</t>
  </si>
  <si>
    <t>QK_HAPTIC_MODE_NEXT</t>
  </si>
  <si>
    <t>0x7C46</t>
  </si>
  <si>
    <t>QK_HAPTIC_MODE_PREVIOUS</t>
  </si>
  <si>
    <t>0x7C47</t>
  </si>
  <si>
    <t>QK_HAPTIC_CONTINUOUS_TOGGLE</t>
  </si>
  <si>
    <t>0x7C48</t>
  </si>
  <si>
    <t>QK_HAPTIC_CONTINUOUS_UP</t>
  </si>
  <si>
    <t>0x7C49</t>
  </si>
  <si>
    <t>QK_HAPTIC_CONTINUOUS_DOWN</t>
  </si>
  <si>
    <t>0x7C4A</t>
  </si>
  <si>
    <t>QK_HAPTIC_DWELL_UP</t>
  </si>
  <si>
    <t>0x7C4B</t>
  </si>
  <si>
    <t>QK_HAPTIC_DWELL_DOWN</t>
  </si>
  <si>
    <t>0x7C4C</t>
  </si>
  <si>
    <t>QK_COMBO_ON</t>
  </si>
  <si>
    <t>0x7C50</t>
  </si>
  <si>
    <t>QK_COMBO_OFF</t>
  </si>
  <si>
    <t>0x7C51</t>
  </si>
  <si>
    <t>QK_COMBO_TOGGLE</t>
  </si>
  <si>
    <t>0x7C52</t>
  </si>
  <si>
    <t>QK_DYNAMIC_MACRO_RECORD_START_1</t>
  </si>
  <si>
    <t>0x7C53</t>
  </si>
  <si>
    <t>QK_DYNAMIC_MACRO_RECORD_START_2</t>
  </si>
  <si>
    <t>0x7C54</t>
  </si>
  <si>
    <t>QK_DYNAMIC_MACRO_RECORD_STOP</t>
  </si>
  <si>
    <t>0x7C55</t>
  </si>
  <si>
    <t>QK_DYNAMIC_MACRO_PLAY_1</t>
  </si>
  <si>
    <t>0x7C56</t>
  </si>
  <si>
    <t>QK_DYNAMIC_MACRO_PLAY_2</t>
  </si>
  <si>
    <t>0x7C57</t>
  </si>
  <si>
    <t>QK_LEADER</t>
  </si>
  <si>
    <t>0x7C58</t>
  </si>
  <si>
    <t>QK_LOCK</t>
  </si>
  <si>
    <t>0x7C59</t>
  </si>
  <si>
    <t>QK_ONE_SHOT_ON</t>
  </si>
  <si>
    <t>0x7C5A</t>
  </si>
  <si>
    <t>QK_ONE_SHOT_OFF</t>
  </si>
  <si>
    <t>0x7C5B</t>
  </si>
  <si>
    <t>QK_ONE_SHOT_TOGGLE</t>
  </si>
  <si>
    <t>0x7C5C</t>
  </si>
  <si>
    <t>QK_KEY_OVERRIDE_TOGGLE</t>
  </si>
  <si>
    <t>0x7C5D</t>
  </si>
  <si>
    <t>QK_KEY_OVERRIDE_ON</t>
  </si>
  <si>
    <t>0x7C5E</t>
  </si>
  <si>
    <t>QK_KEY_OVERRIDE_OFF</t>
  </si>
  <si>
    <t>0x7C5F</t>
  </si>
  <si>
    <t>QK_SECURE_LOCK</t>
  </si>
  <si>
    <t>0x7C60</t>
  </si>
  <si>
    <t>QK_SECURE_UNLOCK</t>
  </si>
  <si>
    <t>0x7C61</t>
  </si>
  <si>
    <t>QK_SECURE_TOGGLE</t>
  </si>
  <si>
    <t>0x7C62</t>
  </si>
  <si>
    <t>QK_SECURE_REQUEST</t>
  </si>
  <si>
    <t>0x7C63</t>
  </si>
  <si>
    <t>QK_DYNAMIC_TAPPING_TERM_PRINT</t>
  </si>
  <si>
    <t>0x7C70</t>
  </si>
  <si>
    <t>QK_DYNAMIC_TAPPING_TERM_UP</t>
  </si>
  <si>
    <t>0x7C71</t>
  </si>
  <si>
    <t>QK_DYNAMIC_TAPPING_TERM_DOWN</t>
  </si>
  <si>
    <t>0x7C72</t>
  </si>
  <si>
    <t>QK_CAPS_WORD_TOGGLE</t>
  </si>
  <si>
    <t>0x7C73</t>
  </si>
  <si>
    <t>QK_AUTOCORRECT_ON</t>
  </si>
  <si>
    <t>0x7C74</t>
  </si>
  <si>
    <t>QK_AUTOCORRECT_OFF</t>
  </si>
  <si>
    <t>0x7C75</t>
  </si>
  <si>
    <t>QK_AUTOCORRECT_TOGGLE</t>
  </si>
  <si>
    <t>0x7C76</t>
  </si>
  <si>
    <t>QK_TRI_LAYER_LOWER</t>
  </si>
  <si>
    <t>0x7C77</t>
  </si>
  <si>
    <t>QK_TRI_LAYER_UPPER</t>
  </si>
  <si>
    <t>0x7C78</t>
  </si>
  <si>
    <t>QK_REPEAT_KEY</t>
  </si>
  <si>
    <t>0x7C79</t>
  </si>
  <si>
    <t>QK_ALT_REPEAT_KEY</t>
  </si>
  <si>
    <t>0x7C7A</t>
  </si>
  <si>
    <t>QK_LAYER_LOCK</t>
  </si>
  <si>
    <t>0x7C7B</t>
  </si>
  <si>
    <t>QK_KB_0</t>
  </si>
  <si>
    <t>0x7E00</t>
  </si>
  <si>
    <t>QK_KB_1</t>
  </si>
  <si>
    <t>0x7E01</t>
  </si>
  <si>
    <t>QK_KB_2</t>
  </si>
  <si>
    <t>0x7E02</t>
  </si>
  <si>
    <t>QK_KB_3</t>
  </si>
  <si>
    <t>0x7E03</t>
  </si>
  <si>
    <t>QK_KB_4</t>
  </si>
  <si>
    <t>0x7E04</t>
  </si>
  <si>
    <t>QK_KB_5</t>
  </si>
  <si>
    <t>0x7E05</t>
  </si>
  <si>
    <t>QK_KB_6</t>
  </si>
  <si>
    <t>0x7E06</t>
  </si>
  <si>
    <t>QK_KB_7</t>
  </si>
  <si>
    <t>0x7E07</t>
  </si>
  <si>
    <t>QK_KB_8</t>
  </si>
  <si>
    <t>0x7E08</t>
  </si>
  <si>
    <t>QK_KB_9</t>
  </si>
  <si>
    <t>0x7E09</t>
  </si>
  <si>
    <t>QK_KB_10</t>
  </si>
  <si>
    <t>0x7E0A</t>
  </si>
  <si>
    <t>QK_KB_11</t>
  </si>
  <si>
    <t>0x7E0B</t>
  </si>
  <si>
    <t>QK_KB_12</t>
  </si>
  <si>
    <t>0x7E0C</t>
  </si>
  <si>
    <t>QK_KB_13</t>
  </si>
  <si>
    <t>0x7E0D</t>
  </si>
  <si>
    <t>QK_KB_14</t>
  </si>
  <si>
    <t>0x7E0E</t>
  </si>
  <si>
    <t>QK_KB_15</t>
  </si>
  <si>
    <t>0x7E0F</t>
  </si>
  <si>
    <t>QK_KB_16</t>
  </si>
  <si>
    <t>0x7E10</t>
  </si>
  <si>
    <t>QK_KB_17</t>
  </si>
  <si>
    <t>0x7E11</t>
  </si>
  <si>
    <t>QK_KB_18</t>
  </si>
  <si>
    <t>0x7E12</t>
  </si>
  <si>
    <t>QK_KB_19</t>
  </si>
  <si>
    <t>0x7E13</t>
  </si>
  <si>
    <t>QK_KB_20</t>
  </si>
  <si>
    <t>0x7E14</t>
  </si>
  <si>
    <t>QK_KB_21</t>
  </si>
  <si>
    <t>0x7E15</t>
  </si>
  <si>
    <t>QK_KB_22</t>
  </si>
  <si>
    <t>0x7E16</t>
  </si>
  <si>
    <t>QK_KB_23</t>
  </si>
  <si>
    <t>0x7E17</t>
  </si>
  <si>
    <t>QK_KB_24</t>
  </si>
  <si>
    <t>0x7E18</t>
  </si>
  <si>
    <t>QK_KB_25</t>
  </si>
  <si>
    <t>0x7E19</t>
  </si>
  <si>
    <t>QK_KB_26</t>
  </si>
  <si>
    <t>0x7E1A</t>
  </si>
  <si>
    <t>QK_KB_27</t>
  </si>
  <si>
    <t>0x7E1B</t>
  </si>
  <si>
    <t>QK_KB_28</t>
  </si>
  <si>
    <t>0x7E1C</t>
  </si>
  <si>
    <t>QK_KB_29</t>
  </si>
  <si>
    <t>0x7E1D</t>
  </si>
  <si>
    <t>QK_KB_30</t>
  </si>
  <si>
    <t>0x7E1E</t>
  </si>
  <si>
    <t>QK_KB_31</t>
  </si>
  <si>
    <t>0x7E1F</t>
  </si>
  <si>
    <t>QK_USER_0</t>
  </si>
  <si>
    <t>0x7E40</t>
  </si>
  <si>
    <t>QK_USER_1</t>
  </si>
  <si>
    <t>0x7E41</t>
  </si>
  <si>
    <t>QK_USER_2</t>
  </si>
  <si>
    <t>0x7E42</t>
  </si>
  <si>
    <t>QK_USER_3</t>
  </si>
  <si>
    <t>0x7E43</t>
  </si>
  <si>
    <t>QK_USER_4</t>
  </si>
  <si>
    <t>0x7E44</t>
  </si>
  <si>
    <t>QK_USER_5</t>
  </si>
  <si>
    <t>0x7E45</t>
  </si>
  <si>
    <t>QK_USER_6</t>
  </si>
  <si>
    <t>0x7E46</t>
  </si>
  <si>
    <t>QK_USER_7</t>
  </si>
  <si>
    <t>0x7E47</t>
  </si>
  <si>
    <t>QK_USER_8</t>
  </si>
  <si>
    <t>0x7E48</t>
  </si>
  <si>
    <t>QK_USER_9</t>
  </si>
  <si>
    <t>0x7E49</t>
  </si>
  <si>
    <t>QK_USER_10</t>
  </si>
  <si>
    <t>0x7E4A</t>
  </si>
  <si>
    <t>QK_USER_11</t>
  </si>
  <si>
    <t>0x7E4B</t>
  </si>
  <si>
    <t>QK_USER_12</t>
  </si>
  <si>
    <t>0x7E4C</t>
  </si>
  <si>
    <t>QK_USER_13</t>
  </si>
  <si>
    <t>0x7E4D</t>
  </si>
  <si>
    <t>QK_USER_14</t>
  </si>
  <si>
    <t>0x7E4E</t>
  </si>
  <si>
    <t>QK_USER_15</t>
  </si>
  <si>
    <t>0x7E4F</t>
  </si>
  <si>
    <t>QK_USER_16</t>
  </si>
  <si>
    <t>0x7E50</t>
  </si>
  <si>
    <t>QK_USER_17</t>
  </si>
  <si>
    <t>0x7E51</t>
  </si>
  <si>
    <t>QK_USER_18</t>
  </si>
  <si>
    <t>0x7E52</t>
  </si>
  <si>
    <t>QK_USER_19</t>
  </si>
  <si>
    <t>0x7E53</t>
  </si>
  <si>
    <t>QK_USER_20</t>
  </si>
  <si>
    <t>0x7E54</t>
  </si>
  <si>
    <t>QK_USER_21</t>
  </si>
  <si>
    <t>0x7E55</t>
  </si>
  <si>
    <t>QK_USER_22</t>
  </si>
  <si>
    <t>0x7E56</t>
  </si>
  <si>
    <t>QK_USER_23</t>
  </si>
  <si>
    <t>0x7E57</t>
  </si>
  <si>
    <t>QK_USER_24</t>
  </si>
  <si>
    <t>0x7E58</t>
  </si>
  <si>
    <t>QK_USER_25</t>
  </si>
  <si>
    <t>0x7E59</t>
  </si>
  <si>
    <t>QK_USER_26</t>
  </si>
  <si>
    <t>0x7E5A</t>
  </si>
  <si>
    <t>QK_USER_27</t>
  </si>
  <si>
    <t>0x7E5B</t>
  </si>
  <si>
    <t>QK_USER_28</t>
  </si>
  <si>
    <t>0x7E5C</t>
  </si>
  <si>
    <t>QK_USER_29</t>
  </si>
  <si>
    <t>0x7E5D</t>
  </si>
  <si>
    <t>QK_USER_30</t>
  </si>
  <si>
    <t>0x7E5E</t>
  </si>
  <si>
    <t>QK_USER_31</t>
  </si>
  <si>
    <t>0x7E5F</t>
  </si>
  <si>
    <t xml:space="preserve">, </t>
  </si>
  <si>
    <t>Ent</t>
  </si>
  <si>
    <t>Esc</t>
  </si>
  <si>
    <t>BKSP</t>
  </si>
  <si>
    <t>Tab</t>
  </si>
  <si>
    <t>_</t>
  </si>
  <si>
    <t>-</t>
  </si>
  <si>
    <t>=</t>
  </si>
  <si>
    <t>My text here</t>
  </si>
  <si>
    <t>Max character =</t>
  </si>
  <si>
    <t>"     ) \</t>
  </si>
  <si>
    <t>,    "</t>
  </si>
  <si>
    <t xml:space="preserve">    X (  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</si>
  <si>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</si>
  <si>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</si>
  <si>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</si>
  <si>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</si>
  <si>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</si>
  <si>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</si>
  <si>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</si>
  <si>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</si>
  <si>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</si>
  <si>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</si>
  <si>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</si>
  <si>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</si>
  <si>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</si>
  <si>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</si>
  <si>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</si>
  <si>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</si>
  <si>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</si>
  <si>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</si>
  <si>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</si>
  <si>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</si>
  <si>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</si>
  <si>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</si>
  <si>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</si>
  <si>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</si>
  <si>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</si>
  <si>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</si>
  <si>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</si>
  <si>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</si>
  <si>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</si>
  <si>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</si>
  <si>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</si>
  <si>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</si>
  <si>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</si>
  <si>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</si>
  <si>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</si>
  <si>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</si>
  <si>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</si>
  <si>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</si>
  <si>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</si>
  <si>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</si>
  <si>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</si>
  <si>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</si>
  <si>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</si>
  <si>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</si>
  <si>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COPY THIS</t>
  </si>
  <si>
    <t>Range Name</t>
  </si>
  <si>
    <t>Start</t>
  </si>
  <si>
    <t>End</t>
  </si>
  <si>
    <t>INTERNAL_KEYCODE_RANGE</t>
  </si>
  <si>
    <t>BASIC_KEYCODE_RANGE</t>
  </si>
  <si>
    <t>SYSTEM_KEYCODE_RANGE</t>
  </si>
  <si>
    <t>CONSUMER_KEYCODE_RANGE</t>
  </si>
  <si>
    <t>MOUSE_KEYCODE_RANGE</t>
  </si>
  <si>
    <t>MODIFIER_KEYCODE_RANGE</t>
  </si>
  <si>
    <t>SWAP_HANDS_KEYCODE_RANGE</t>
  </si>
  <si>
    <t>MAGIC_KEYCODE_RANGE</t>
  </si>
  <si>
    <t>MIDI_KEYCODE_RANGE</t>
  </si>
  <si>
    <t>SEQUENCER_KEYCODE_RANGE</t>
  </si>
  <si>
    <t>JOYSTICK_KEYCODE_RANGE</t>
  </si>
  <si>
    <t>PROGRAMMABLE_BUTTON_KEYCODE_RANGE</t>
  </si>
  <si>
    <t>AUDIO_KEYCODE_RANGE</t>
  </si>
  <si>
    <t>STENO_KEYCODE_RANGE</t>
  </si>
  <si>
    <t>MACRO_KEYCODE_RANGE</t>
  </si>
  <si>
    <t>CONNECTION_KEYCODE_RANGE</t>
  </si>
  <si>
    <t>BACKLIGHT_KEYCODE_RANGE</t>
  </si>
  <si>
    <t>LED_MATRIX_KEYCODE_RANGE</t>
  </si>
  <si>
    <t>UNDERGLOW_KEYCODE_RANGE</t>
  </si>
  <si>
    <t>RGB_KEYCODE_RANGE</t>
  </si>
  <si>
    <t>RGB_MATRIX_KEYCODE_RANGE</t>
  </si>
  <si>
    <t>QUANTUM_KEYCODE_RANGE</t>
  </si>
  <si>
    <t>KB_KEYCODE_RANGE</t>
  </si>
  <si>
    <t>USER_KEYCODE_RANGE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</si>
  <si>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</si>
  <si>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</si>
  <si>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</si>
  <si>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</si>
  <si>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</si>
  <si>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</si>
  <si>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</si>
  <si>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</si>
  <si>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</si>
  <si>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</si>
  <si>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</si>
  <si>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</si>
  <si>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</si>
  <si>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</si>
  <si>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</si>
  <si>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</si>
  <si>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</si>
  <si>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</si>
  <si>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</si>
  <si>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</si>
  <si>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</si>
  <si>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</si>
  <si>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</si>
  <si>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</si>
  <si>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</si>
  <si>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</si>
  <si>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Cmd</t>
  </si>
  <si>
    <t>Alt</t>
  </si>
  <si>
    <t>Win</t>
  </si>
  <si>
    <t>.</t>
  </si>
  <si>
    <t>+</t>
  </si>
  <si>
    <t>Num</t>
  </si>
  <si>
    <t>/</t>
  </si>
  <si>
    <t>*</t>
  </si>
  <si>
    <t>Cal</t>
  </si>
  <si>
    <t>Com</t>
  </si>
  <si>
    <t>Web</t>
  </si>
  <si>
    <t>&lt;</t>
  </si>
  <si>
    <t>&gt;</t>
  </si>
  <si>
    <t>L</t>
  </si>
  <si>
    <t>R</t>
  </si>
  <si>
    <t>W^</t>
  </si>
  <si>
    <t>Wv</t>
  </si>
  <si>
    <t>&lt;W</t>
  </si>
  <si>
    <t>W&gt;</t>
  </si>
  <si>
    <t>Br+</t>
  </si>
  <si>
    <t>Br-</t>
  </si>
  <si>
    <t>RGB</t>
  </si>
  <si>
    <t>C&gt;</t>
  </si>
  <si>
    <t>&lt;C</t>
  </si>
  <si>
    <t>#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</si>
  <si>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</si>
  <si>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</si>
  <si>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</si>
  <si>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</si>
  <si>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</si>
  <si>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</si>
  <si>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</si>
  <si>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</si>
  <si>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</si>
  <si>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</si>
  <si>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</si>
  <si>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</si>
  <si>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Mute</t>
  </si>
  <si>
    <t>Vol+</t>
  </si>
  <si>
    <t>Vol-</t>
  </si>
  <si>
    <t>Next</t>
  </si>
  <si>
    <t>Prev</t>
  </si>
  <si>
    <t>Stop</t>
  </si>
  <si>
    <t>Play</t>
  </si>
  <si>
    <t>Media</t>
  </si>
  <si>
    <t>UP</t>
  </si>
  <si>
    <t>DOWN</t>
  </si>
  <si>
    <t>LEFT</t>
  </si>
  <si>
    <t>RIGHT</t>
  </si>
  <si>
    <t>Bt1</t>
  </si>
  <si>
    <t>Bt2</t>
  </si>
  <si>
    <t>Bt3</t>
  </si>
  <si>
    <t>Shift</t>
  </si>
  <si>
    <t>Eff &gt;</t>
  </si>
  <si>
    <t>&lt; 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</si>
</sst>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i/>
      <sz val="11"/>
      <color theme="1"/>
      <name val="Courier New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9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37.5703125" style="2" customWidth="1"/>
    <col min="2" max="2" width="9.140625" style="2"/>
    <col min="3" max="3" width="11.7109375" style="3" customWidth="1"/>
    <col min="4" max="4" width="16.140625" style="4" bestFit="1" customWidth="1"/>
    <col min="5" max="5" width="60.85546875" style="3" bestFit="1" customWidth="1"/>
    <col min="6" max="6" width="3.85546875" style="3" bestFit="1" customWidth="1"/>
    <col min="7" max="8" width="9" style="3" bestFit="1" customWidth="1"/>
    <col min="9" max="9" width="14.28515625" style="3" bestFit="1" customWidth="1"/>
    <col min="10" max="10" width="12.85546875" style="5" bestFit="1" customWidth="1"/>
    <col min="11" max="11" width="76.85546875" style="2" bestFit="1" customWidth="1"/>
    <col min="12" max="16384" width="9.140625" style="2"/>
  </cols>
  <sheetData>
    <row r="1" spans="1:11" s="7" customFormat="1" ht="33.75" customHeight="1" x14ac:dyDescent="0.25">
      <c r="C1" s="10" t="s">
        <v>1480</v>
      </c>
      <c r="D1" s="11" t="s">
        <v>1481</v>
      </c>
      <c r="E1" s="8">
        <v>45</v>
      </c>
      <c r="F1" s="8"/>
      <c r="G1" s="8"/>
      <c r="H1" s="8"/>
      <c r="I1" s="8"/>
      <c r="J1" s="9"/>
    </row>
    <row r="2" spans="1:11" x14ac:dyDescent="0.25">
      <c r="A2" s="2" t="s">
        <v>0</v>
      </c>
      <c r="B2" s="2" t="s">
        <v>1</v>
      </c>
      <c r="D2" s="4" t="s">
        <v>1484</v>
      </c>
      <c r="E2" s="3" t="str">
        <f>LEFT(A2 &amp; REPT(" ",$E$1),$E$1)</f>
        <v xml:space="preserve">KC_NO                                        </v>
      </c>
      <c r="F2" s="3" t="s">
        <v>1472</v>
      </c>
      <c r="G2" s="3" t="str">
        <f>B2</f>
        <v>0x0000</v>
      </c>
      <c r="H2" s="3" t="s">
        <v>1483</v>
      </c>
      <c r="I2" s="3" t="str">
        <f>IF(C2="","",C2)</f>
        <v/>
      </c>
      <c r="J2" s="5" t="s">
        <v>1482</v>
      </c>
      <c r="K2" s="2" t="str">
        <f>IF(I2="","",_xlfn.CONCAT(D2:J2))</f>
        <v/>
      </c>
    </row>
    <row r="3" spans="1:11" x14ac:dyDescent="0.25">
      <c r="A3" s="2" t="s">
        <v>2</v>
      </c>
      <c r="B3" s="2" t="s">
        <v>3</v>
      </c>
      <c r="D3" s="4" t="s">
        <v>1484</v>
      </c>
      <c r="E3" s="3" t="str">
        <f t="shared" ref="E3:E46" si="0">LEFT(A3 &amp; REPT(" ",$E$1),$E$1)</f>
        <v xml:space="preserve">KC_TRANSPARENT                               </v>
      </c>
      <c r="F3" s="3" t="s">
        <v>1472</v>
      </c>
      <c r="G3" s="3" t="str">
        <f t="shared" ref="G3:G46" si="1">B3</f>
        <v>0x0001</v>
      </c>
      <c r="H3" s="3" t="s">
        <v>1483</v>
      </c>
      <c r="I3" s="3" t="str">
        <f t="shared" ref="I3:I66" si="2">IF(C3="","",C3)</f>
        <v/>
      </c>
      <c r="J3" s="5" t="s">
        <v>1482</v>
      </c>
      <c r="K3" s="2" t="str">
        <f t="shared" ref="K3:K66" si="3">IF(I3="","",_xlfn.CONCAT(D3:J3))</f>
        <v/>
      </c>
    </row>
    <row r="4" spans="1:11" x14ac:dyDescent="0.25">
      <c r="A4" s="2" t="s">
        <v>4</v>
      </c>
      <c r="B4" s="2" t="s">
        <v>5</v>
      </c>
      <c r="C4" s="3" t="s">
        <v>1557</v>
      </c>
      <c r="D4" s="4" t="s">
        <v>1484</v>
      </c>
      <c r="E4" s="3" t="str">
        <f t="shared" si="0"/>
        <v xml:space="preserve">KC_A                                         </v>
      </c>
      <c r="F4" s="3" t="s">
        <v>1472</v>
      </c>
      <c r="G4" s="3" t="str">
        <f t="shared" si="1"/>
        <v>0x0004</v>
      </c>
      <c r="H4" s="3" t="s">
        <v>1483</v>
      </c>
      <c r="I4" s="3" t="str">
        <f t="shared" si="2"/>
        <v>a</v>
      </c>
      <c r="J4" s="5" t="s">
        <v>1482</v>
      </c>
      <c r="K4" s="2" t="str">
        <f t="shared" si="3"/>
        <v xml:space="preserve">    X (  KC_A                                         , 0x0004,    "a"     ) \</v>
      </c>
    </row>
    <row r="5" spans="1:11" x14ac:dyDescent="0.25">
      <c r="A5" s="2" t="s">
        <v>6</v>
      </c>
      <c r="B5" s="2" t="s">
        <v>7</v>
      </c>
      <c r="C5" s="3" t="s">
        <v>1558</v>
      </c>
      <c r="D5" s="4" t="s">
        <v>1484</v>
      </c>
      <c r="E5" s="3" t="str">
        <f t="shared" si="0"/>
        <v xml:space="preserve">KC_B                                         </v>
      </c>
      <c r="F5" s="3" t="s">
        <v>1472</v>
      </c>
      <c r="G5" s="3" t="str">
        <f t="shared" si="1"/>
        <v>0x0005</v>
      </c>
      <c r="H5" s="3" t="s">
        <v>1483</v>
      </c>
      <c r="I5" s="3" t="str">
        <f t="shared" si="2"/>
        <v>b</v>
      </c>
      <c r="J5" s="5" t="s">
        <v>1482</v>
      </c>
      <c r="K5" s="2" t="str">
        <f t="shared" si="3"/>
        <v xml:space="preserve">    X (  KC_B                                         , 0x0005,    "b"     ) \</v>
      </c>
    </row>
    <row r="6" spans="1:11" x14ac:dyDescent="0.25">
      <c r="A6" s="2" t="s">
        <v>8</v>
      </c>
      <c r="B6" s="2" t="s">
        <v>9</v>
      </c>
      <c r="C6" s="3" t="s">
        <v>1559</v>
      </c>
      <c r="D6" s="4" t="s">
        <v>1484</v>
      </c>
      <c r="E6" s="3" t="str">
        <f t="shared" si="0"/>
        <v xml:space="preserve">KC_C                                         </v>
      </c>
      <c r="F6" s="3" t="s">
        <v>1472</v>
      </c>
      <c r="G6" s="3" t="str">
        <f t="shared" si="1"/>
        <v>0x0006</v>
      </c>
      <c r="H6" s="3" t="s">
        <v>1483</v>
      </c>
      <c r="I6" s="3" t="str">
        <f t="shared" si="2"/>
        <v>c</v>
      </c>
      <c r="J6" s="5" t="s">
        <v>1482</v>
      </c>
      <c r="K6" s="2" t="str">
        <f t="shared" si="3"/>
        <v xml:space="preserve">    X (  KC_C                                         , 0x0006,    "c"     ) \</v>
      </c>
    </row>
    <row r="7" spans="1:11" x14ac:dyDescent="0.25">
      <c r="A7" s="2" t="s">
        <v>10</v>
      </c>
      <c r="B7" s="2" t="s">
        <v>11</v>
      </c>
      <c r="C7" s="3" t="s">
        <v>1560</v>
      </c>
      <c r="D7" s="4" t="s">
        <v>1484</v>
      </c>
      <c r="E7" s="3" t="str">
        <f t="shared" si="0"/>
        <v xml:space="preserve">KC_D                                         </v>
      </c>
      <c r="F7" s="3" t="s">
        <v>1472</v>
      </c>
      <c r="G7" s="3" t="str">
        <f t="shared" si="1"/>
        <v>0x0007</v>
      </c>
      <c r="H7" s="3" t="s">
        <v>1483</v>
      </c>
      <c r="I7" s="3" t="str">
        <f t="shared" si="2"/>
        <v>d</v>
      </c>
      <c r="J7" s="5" t="s">
        <v>1482</v>
      </c>
      <c r="K7" s="2" t="str">
        <f t="shared" si="3"/>
        <v xml:space="preserve">    X (  KC_D                                         , 0x0007,    "d"     ) \</v>
      </c>
    </row>
    <row r="8" spans="1:11" x14ac:dyDescent="0.25">
      <c r="A8" s="2" t="s">
        <v>12</v>
      </c>
      <c r="B8" s="2" t="s">
        <v>13</v>
      </c>
      <c r="C8" s="3" t="s">
        <v>1561</v>
      </c>
      <c r="D8" s="4" t="s">
        <v>1484</v>
      </c>
      <c r="E8" s="3" t="str">
        <f t="shared" si="0"/>
        <v xml:space="preserve">KC_E                                         </v>
      </c>
      <c r="F8" s="3" t="s">
        <v>1472</v>
      </c>
      <c r="G8" s="3" t="str">
        <f t="shared" si="1"/>
        <v>0x0008</v>
      </c>
      <c r="H8" s="3" t="s">
        <v>1483</v>
      </c>
      <c r="I8" s="3" t="str">
        <f t="shared" si="2"/>
        <v>e</v>
      </c>
      <c r="J8" s="5" t="s">
        <v>1482</v>
      </c>
      <c r="K8" s="2" t="str">
        <f t="shared" si="3"/>
        <v xml:space="preserve">    X (  KC_E                                         , 0x0008,    "e"     ) \</v>
      </c>
    </row>
    <row r="9" spans="1:11" x14ac:dyDescent="0.25">
      <c r="A9" s="2" t="s">
        <v>14</v>
      </c>
      <c r="B9" s="2" t="s">
        <v>15</v>
      </c>
      <c r="C9" s="3" t="s">
        <v>1562</v>
      </c>
      <c r="D9" s="4" t="s">
        <v>1484</v>
      </c>
      <c r="E9" s="3" t="str">
        <f t="shared" si="0"/>
        <v xml:space="preserve">KC_F                                         </v>
      </c>
      <c r="F9" s="3" t="s">
        <v>1472</v>
      </c>
      <c r="G9" s="3" t="str">
        <f t="shared" si="1"/>
        <v>0x0009</v>
      </c>
      <c r="H9" s="3" t="s">
        <v>1483</v>
      </c>
      <c r="I9" s="3" t="str">
        <f t="shared" si="2"/>
        <v>f</v>
      </c>
      <c r="J9" s="5" t="s">
        <v>1482</v>
      </c>
      <c r="K9" s="2" t="str">
        <f t="shared" si="3"/>
        <v xml:space="preserve">    X (  KC_F                                         , 0x0009,    "f"     ) \</v>
      </c>
    </row>
    <row r="10" spans="1:11" x14ac:dyDescent="0.25">
      <c r="A10" s="2" t="s">
        <v>16</v>
      </c>
      <c r="B10" s="2" t="s">
        <v>17</v>
      </c>
      <c r="C10" s="3" t="s">
        <v>1563</v>
      </c>
      <c r="D10" s="4" t="s">
        <v>1484</v>
      </c>
      <c r="E10" s="3" t="str">
        <f t="shared" si="0"/>
        <v xml:space="preserve">KC_G                                         </v>
      </c>
      <c r="F10" s="3" t="s">
        <v>1472</v>
      </c>
      <c r="G10" s="3" t="str">
        <f t="shared" si="1"/>
        <v>0x000A</v>
      </c>
      <c r="H10" s="3" t="s">
        <v>1483</v>
      </c>
      <c r="I10" s="3" t="str">
        <f t="shared" si="2"/>
        <v>g</v>
      </c>
      <c r="J10" s="5" t="s">
        <v>1482</v>
      </c>
      <c r="K10" s="2" t="str">
        <f t="shared" si="3"/>
        <v xml:space="preserve">    X (  KC_G                                         , 0x000A,    "g"     ) \</v>
      </c>
    </row>
    <row r="11" spans="1:11" x14ac:dyDescent="0.25">
      <c r="A11" s="2" t="s">
        <v>18</v>
      </c>
      <c r="B11" s="2" t="s">
        <v>19</v>
      </c>
      <c r="C11" s="3" t="s">
        <v>1564</v>
      </c>
      <c r="D11" s="4" t="s">
        <v>1484</v>
      </c>
      <c r="E11" s="3" t="str">
        <f t="shared" si="0"/>
        <v xml:space="preserve">KC_H                                         </v>
      </c>
      <c r="F11" s="3" t="s">
        <v>1472</v>
      </c>
      <c r="G11" s="3" t="str">
        <f t="shared" si="1"/>
        <v>0x000B</v>
      </c>
      <c r="H11" s="3" t="s">
        <v>1483</v>
      </c>
      <c r="I11" s="3" t="str">
        <f t="shared" si="2"/>
        <v>h</v>
      </c>
      <c r="J11" s="5" t="s">
        <v>1482</v>
      </c>
      <c r="K11" s="2" t="str">
        <f t="shared" si="3"/>
        <v xml:space="preserve">    X (  KC_H                                         , 0x000B,    "h"     ) \</v>
      </c>
    </row>
    <row r="12" spans="1:11" x14ac:dyDescent="0.25">
      <c r="A12" s="2" t="s">
        <v>20</v>
      </c>
      <c r="B12" s="2" t="s">
        <v>21</v>
      </c>
      <c r="C12" s="3" t="s">
        <v>1565</v>
      </c>
      <c r="D12" s="4" t="s">
        <v>1484</v>
      </c>
      <c r="E12" s="3" t="str">
        <f t="shared" si="0"/>
        <v xml:space="preserve">KC_I                                         </v>
      </c>
      <c r="F12" s="3" t="s">
        <v>1472</v>
      </c>
      <c r="G12" s="3" t="str">
        <f t="shared" si="1"/>
        <v>0x000C</v>
      </c>
      <c r="H12" s="3" t="s">
        <v>1483</v>
      </c>
      <c r="I12" s="3" t="str">
        <f t="shared" si="2"/>
        <v>i</v>
      </c>
      <c r="J12" s="5" t="s">
        <v>1482</v>
      </c>
      <c r="K12" s="2" t="str">
        <f t="shared" si="3"/>
        <v xml:space="preserve">    X (  KC_I                                         , 0x000C,    "i"     ) \</v>
      </c>
    </row>
    <row r="13" spans="1:11" x14ac:dyDescent="0.25">
      <c r="A13" s="2" t="s">
        <v>22</v>
      </c>
      <c r="B13" s="2" t="s">
        <v>23</v>
      </c>
      <c r="C13" s="3" t="s">
        <v>1566</v>
      </c>
      <c r="D13" s="4" t="s">
        <v>1484</v>
      </c>
      <c r="E13" s="3" t="str">
        <f t="shared" si="0"/>
        <v xml:space="preserve">KC_J                                         </v>
      </c>
      <c r="F13" s="3" t="s">
        <v>1472</v>
      </c>
      <c r="G13" s="3" t="str">
        <f t="shared" si="1"/>
        <v>0x000D</v>
      </c>
      <c r="H13" s="3" t="s">
        <v>1483</v>
      </c>
      <c r="I13" s="3" t="str">
        <f t="shared" si="2"/>
        <v>j</v>
      </c>
      <c r="J13" s="5" t="s">
        <v>1482</v>
      </c>
      <c r="K13" s="2" t="str">
        <f t="shared" si="3"/>
        <v xml:space="preserve">    X (  KC_J                                         , 0x000D,    "j"     ) \</v>
      </c>
    </row>
    <row r="14" spans="1:11" x14ac:dyDescent="0.25">
      <c r="A14" s="2" t="s">
        <v>24</v>
      </c>
      <c r="B14" s="2" t="s">
        <v>25</v>
      </c>
      <c r="C14" s="3" t="s">
        <v>1567</v>
      </c>
      <c r="D14" s="4" t="s">
        <v>1484</v>
      </c>
      <c r="E14" s="3" t="str">
        <f t="shared" si="0"/>
        <v xml:space="preserve">KC_K                                         </v>
      </c>
      <c r="F14" s="3" t="s">
        <v>1472</v>
      </c>
      <c r="G14" s="3" t="str">
        <f t="shared" si="1"/>
        <v>0x000E</v>
      </c>
      <c r="H14" s="3" t="s">
        <v>1483</v>
      </c>
      <c r="I14" s="3" t="str">
        <f t="shared" si="2"/>
        <v>k</v>
      </c>
      <c r="J14" s="5" t="s">
        <v>1482</v>
      </c>
      <c r="K14" s="2" t="str">
        <f t="shared" si="3"/>
        <v xml:space="preserve">    X (  KC_K                                         , 0x000E,    "k"     ) \</v>
      </c>
    </row>
    <row r="15" spans="1:11" x14ac:dyDescent="0.25">
      <c r="A15" s="2" t="s">
        <v>26</v>
      </c>
      <c r="B15" s="2" t="s">
        <v>27</v>
      </c>
      <c r="C15" s="3" t="s">
        <v>1568</v>
      </c>
      <c r="D15" s="4" t="s">
        <v>1484</v>
      </c>
      <c r="E15" s="3" t="str">
        <f t="shared" si="0"/>
        <v xml:space="preserve">KC_L                                         </v>
      </c>
      <c r="F15" s="3" t="s">
        <v>1472</v>
      </c>
      <c r="G15" s="3" t="str">
        <f t="shared" si="1"/>
        <v>0x000F</v>
      </c>
      <c r="H15" s="3" t="s">
        <v>1483</v>
      </c>
      <c r="I15" s="3" t="str">
        <f t="shared" si="2"/>
        <v>l</v>
      </c>
      <c r="J15" s="5" t="s">
        <v>1482</v>
      </c>
      <c r="K15" s="2" t="str">
        <f t="shared" si="3"/>
        <v xml:space="preserve">    X (  KC_L                                         , 0x000F,    "l"     ) \</v>
      </c>
    </row>
    <row r="16" spans="1:11" x14ac:dyDescent="0.25">
      <c r="A16" s="2" t="s">
        <v>28</v>
      </c>
      <c r="B16" s="2" t="s">
        <v>29</v>
      </c>
      <c r="C16" s="3" t="s">
        <v>1569</v>
      </c>
      <c r="D16" s="4" t="s">
        <v>1484</v>
      </c>
      <c r="E16" s="3" t="str">
        <f t="shared" si="0"/>
        <v xml:space="preserve">KC_M                                         </v>
      </c>
      <c r="F16" s="3" t="s">
        <v>1472</v>
      </c>
      <c r="G16" s="3" t="str">
        <f t="shared" si="1"/>
        <v>0x0010</v>
      </c>
      <c r="H16" s="3" t="s">
        <v>1483</v>
      </c>
      <c r="I16" s="3" t="str">
        <f t="shared" si="2"/>
        <v>m</v>
      </c>
      <c r="J16" s="5" t="s">
        <v>1482</v>
      </c>
      <c r="K16" s="2" t="str">
        <f t="shared" si="3"/>
        <v xml:space="preserve">    X (  KC_M                                         , 0x0010,    "m"     ) \</v>
      </c>
    </row>
    <row r="17" spans="1:11" x14ac:dyDescent="0.25">
      <c r="A17" s="2" t="s">
        <v>30</v>
      </c>
      <c r="B17" s="2" t="s">
        <v>31</v>
      </c>
      <c r="C17" s="3" t="s">
        <v>1570</v>
      </c>
      <c r="D17" s="4" t="s">
        <v>1484</v>
      </c>
      <c r="E17" s="3" t="str">
        <f t="shared" si="0"/>
        <v xml:space="preserve">KC_N                                         </v>
      </c>
      <c r="F17" s="3" t="s">
        <v>1472</v>
      </c>
      <c r="G17" s="3" t="str">
        <f t="shared" si="1"/>
        <v>0x0011</v>
      </c>
      <c r="H17" s="3" t="s">
        <v>1483</v>
      </c>
      <c r="I17" s="3" t="str">
        <f t="shared" si="2"/>
        <v>n</v>
      </c>
      <c r="J17" s="5" t="s">
        <v>1482</v>
      </c>
      <c r="K17" s="2" t="str">
        <f t="shared" si="3"/>
        <v xml:space="preserve">    X (  KC_N                                         , 0x0011,    "n"     ) \</v>
      </c>
    </row>
    <row r="18" spans="1:11" x14ac:dyDescent="0.25">
      <c r="A18" s="2" t="s">
        <v>32</v>
      </c>
      <c r="B18" s="2" t="s">
        <v>33</v>
      </c>
      <c r="C18" s="3" t="s">
        <v>1571</v>
      </c>
      <c r="D18" s="4" t="s">
        <v>1484</v>
      </c>
      <c r="E18" s="3" t="str">
        <f t="shared" si="0"/>
        <v xml:space="preserve">KC_O                                         </v>
      </c>
      <c r="F18" s="3" t="s">
        <v>1472</v>
      </c>
      <c r="G18" s="3" t="str">
        <f t="shared" si="1"/>
        <v>0x0012</v>
      </c>
      <c r="H18" s="3" t="s">
        <v>1483</v>
      </c>
      <c r="I18" s="3" t="str">
        <f t="shared" si="2"/>
        <v>o</v>
      </c>
      <c r="J18" s="5" t="s">
        <v>1482</v>
      </c>
      <c r="K18" s="2" t="str">
        <f t="shared" si="3"/>
        <v xml:space="preserve">    X (  KC_O                                         , 0x0012,    "o"     ) \</v>
      </c>
    </row>
    <row r="19" spans="1:11" x14ac:dyDescent="0.25">
      <c r="A19" s="2" t="s">
        <v>34</v>
      </c>
      <c r="B19" s="2" t="s">
        <v>35</v>
      </c>
      <c r="C19" s="3" t="s">
        <v>1572</v>
      </c>
      <c r="D19" s="4" t="s">
        <v>1484</v>
      </c>
      <c r="E19" s="3" t="str">
        <f t="shared" si="0"/>
        <v xml:space="preserve">KC_P                                         </v>
      </c>
      <c r="F19" s="3" t="s">
        <v>1472</v>
      </c>
      <c r="G19" s="3" t="str">
        <f t="shared" si="1"/>
        <v>0x0013</v>
      </c>
      <c r="H19" s="3" t="s">
        <v>1483</v>
      </c>
      <c r="I19" s="3" t="str">
        <f t="shared" si="2"/>
        <v>p</v>
      </c>
      <c r="J19" s="5" t="s">
        <v>1482</v>
      </c>
      <c r="K19" s="2" t="str">
        <f t="shared" si="3"/>
        <v xml:space="preserve">    X (  KC_P                                         , 0x0013,    "p"     ) \</v>
      </c>
    </row>
    <row r="20" spans="1:11" x14ac:dyDescent="0.25">
      <c r="A20" s="2" t="s">
        <v>36</v>
      </c>
      <c r="B20" s="2" t="s">
        <v>37</v>
      </c>
      <c r="C20" s="3" t="s">
        <v>1573</v>
      </c>
      <c r="D20" s="4" t="s">
        <v>1484</v>
      </c>
      <c r="E20" s="3" t="str">
        <f t="shared" si="0"/>
        <v xml:space="preserve">KC_Q                                         </v>
      </c>
      <c r="F20" s="3" t="s">
        <v>1472</v>
      </c>
      <c r="G20" s="3" t="str">
        <f t="shared" si="1"/>
        <v>0x0014</v>
      </c>
      <c r="H20" s="3" t="s">
        <v>1483</v>
      </c>
      <c r="I20" s="3" t="str">
        <f t="shared" si="2"/>
        <v>q</v>
      </c>
      <c r="J20" s="5" t="s">
        <v>1482</v>
      </c>
      <c r="K20" s="2" t="str">
        <f t="shared" si="3"/>
        <v xml:space="preserve">    X (  KC_Q                                         , 0x0014,    "q"     ) \</v>
      </c>
    </row>
    <row r="21" spans="1:11" x14ac:dyDescent="0.25">
      <c r="A21" s="2" t="s">
        <v>38</v>
      </c>
      <c r="B21" s="2" t="s">
        <v>39</v>
      </c>
      <c r="C21" s="3" t="s">
        <v>1574</v>
      </c>
      <c r="D21" s="4" t="s">
        <v>1484</v>
      </c>
      <c r="E21" s="3" t="str">
        <f t="shared" si="0"/>
        <v xml:space="preserve">KC_R                                         </v>
      </c>
      <c r="F21" s="3" t="s">
        <v>1472</v>
      </c>
      <c r="G21" s="3" t="str">
        <f t="shared" si="1"/>
        <v>0x0015</v>
      </c>
      <c r="H21" s="3" t="s">
        <v>1483</v>
      </c>
      <c r="I21" s="3" t="str">
        <f t="shared" si="2"/>
        <v>r</v>
      </c>
      <c r="J21" s="5" t="s">
        <v>1482</v>
      </c>
      <c r="K21" s="2" t="str">
        <f t="shared" si="3"/>
        <v xml:space="preserve">    X (  KC_R                                         , 0x0015,    "r"     ) \</v>
      </c>
    </row>
    <row r="22" spans="1:11" x14ac:dyDescent="0.25">
      <c r="A22" s="2" t="s">
        <v>40</v>
      </c>
      <c r="B22" s="2" t="s">
        <v>41</v>
      </c>
      <c r="C22" s="3" t="s">
        <v>1575</v>
      </c>
      <c r="D22" s="4" t="s">
        <v>1484</v>
      </c>
      <c r="E22" s="3" t="str">
        <f t="shared" si="0"/>
        <v xml:space="preserve">KC_S                                         </v>
      </c>
      <c r="F22" s="3" t="s">
        <v>1472</v>
      </c>
      <c r="G22" s="3" t="str">
        <f t="shared" si="1"/>
        <v>0x0016</v>
      </c>
      <c r="H22" s="3" t="s">
        <v>1483</v>
      </c>
      <c r="I22" s="3" t="str">
        <f t="shared" si="2"/>
        <v>s</v>
      </c>
      <c r="J22" s="5" t="s">
        <v>1482</v>
      </c>
      <c r="K22" s="2" t="str">
        <f t="shared" si="3"/>
        <v xml:space="preserve">    X (  KC_S                                         , 0x0016,    "s"     ) \</v>
      </c>
    </row>
    <row r="23" spans="1:11" x14ac:dyDescent="0.25">
      <c r="A23" s="2" t="s">
        <v>42</v>
      </c>
      <c r="B23" s="2" t="s">
        <v>43</v>
      </c>
      <c r="C23" s="3" t="s">
        <v>1576</v>
      </c>
      <c r="D23" s="4" t="s">
        <v>1484</v>
      </c>
      <c r="E23" s="3" t="str">
        <f t="shared" si="0"/>
        <v xml:space="preserve">KC_T                                         </v>
      </c>
      <c r="F23" s="3" t="s">
        <v>1472</v>
      </c>
      <c r="G23" s="3" t="str">
        <f t="shared" si="1"/>
        <v>0x0017</v>
      </c>
      <c r="H23" s="3" t="s">
        <v>1483</v>
      </c>
      <c r="I23" s="3" t="str">
        <f t="shared" si="2"/>
        <v>t</v>
      </c>
      <c r="J23" s="5" t="s">
        <v>1482</v>
      </c>
      <c r="K23" s="2" t="str">
        <f t="shared" si="3"/>
        <v xml:space="preserve">    X (  KC_T                                         , 0x0017,    "t"     ) \</v>
      </c>
    </row>
    <row r="24" spans="1:11" x14ac:dyDescent="0.25">
      <c r="A24" s="2" t="s">
        <v>44</v>
      </c>
      <c r="B24" s="2" t="s">
        <v>45</v>
      </c>
      <c r="C24" s="3" t="s">
        <v>1577</v>
      </c>
      <c r="D24" s="4" t="s">
        <v>1484</v>
      </c>
      <c r="E24" s="3" t="str">
        <f t="shared" si="0"/>
        <v xml:space="preserve">KC_U                                         </v>
      </c>
      <c r="F24" s="3" t="s">
        <v>1472</v>
      </c>
      <c r="G24" s="3" t="str">
        <f t="shared" si="1"/>
        <v>0x0018</v>
      </c>
      <c r="H24" s="3" t="s">
        <v>1483</v>
      </c>
      <c r="I24" s="3" t="str">
        <f t="shared" si="2"/>
        <v>u</v>
      </c>
      <c r="J24" s="5" t="s">
        <v>1482</v>
      </c>
      <c r="K24" s="2" t="str">
        <f t="shared" si="3"/>
        <v xml:space="preserve">    X (  KC_U                                         , 0x0018,    "u"     ) \</v>
      </c>
    </row>
    <row r="25" spans="1:11" x14ac:dyDescent="0.25">
      <c r="A25" s="2" t="s">
        <v>46</v>
      </c>
      <c r="B25" s="2" t="s">
        <v>47</v>
      </c>
      <c r="C25" s="3" t="s">
        <v>1578</v>
      </c>
      <c r="D25" s="4" t="s">
        <v>1484</v>
      </c>
      <c r="E25" s="3" t="str">
        <f t="shared" si="0"/>
        <v xml:space="preserve">KC_V                                         </v>
      </c>
      <c r="F25" s="3" t="s">
        <v>1472</v>
      </c>
      <c r="G25" s="3" t="str">
        <f t="shared" si="1"/>
        <v>0x0019</v>
      </c>
      <c r="H25" s="3" t="s">
        <v>1483</v>
      </c>
      <c r="I25" s="3" t="str">
        <f t="shared" si="2"/>
        <v>v</v>
      </c>
      <c r="J25" s="5" t="s">
        <v>1482</v>
      </c>
      <c r="K25" s="2" t="str">
        <f t="shared" si="3"/>
        <v xml:space="preserve">    X (  KC_V                                         , 0x0019,    "v"     ) \</v>
      </c>
    </row>
    <row r="26" spans="1:11" x14ac:dyDescent="0.25">
      <c r="A26" s="2" t="s">
        <v>48</v>
      </c>
      <c r="B26" s="2" t="s">
        <v>49</v>
      </c>
      <c r="C26" s="3" t="s">
        <v>1579</v>
      </c>
      <c r="D26" s="4" t="s">
        <v>1484</v>
      </c>
      <c r="E26" s="3" t="str">
        <f t="shared" si="0"/>
        <v xml:space="preserve">KC_W                                         </v>
      </c>
      <c r="F26" s="3" t="s">
        <v>1472</v>
      </c>
      <c r="G26" s="3" t="str">
        <f t="shared" si="1"/>
        <v>0x001A</v>
      </c>
      <c r="H26" s="3" t="s">
        <v>1483</v>
      </c>
      <c r="I26" s="3" t="str">
        <f t="shared" si="2"/>
        <v>w</v>
      </c>
      <c r="J26" s="5" t="s">
        <v>1482</v>
      </c>
      <c r="K26" s="2" t="str">
        <f t="shared" si="3"/>
        <v xml:space="preserve">    X (  KC_W                                         , 0x001A,    "w"     ) \</v>
      </c>
    </row>
    <row r="27" spans="1:11" x14ac:dyDescent="0.25">
      <c r="A27" s="2" t="s">
        <v>50</v>
      </c>
      <c r="B27" s="2" t="s">
        <v>51</v>
      </c>
      <c r="C27" s="3" t="s">
        <v>1580</v>
      </c>
      <c r="D27" s="4" t="s">
        <v>1484</v>
      </c>
      <c r="E27" s="3" t="str">
        <f t="shared" si="0"/>
        <v xml:space="preserve">KC_X                                         </v>
      </c>
      <c r="F27" s="3" t="s">
        <v>1472</v>
      </c>
      <c r="G27" s="3" t="str">
        <f t="shared" si="1"/>
        <v>0x001B</v>
      </c>
      <c r="H27" s="3" t="s">
        <v>1483</v>
      </c>
      <c r="I27" s="3" t="str">
        <f t="shared" si="2"/>
        <v>x</v>
      </c>
      <c r="J27" s="5" t="s">
        <v>1482</v>
      </c>
      <c r="K27" s="2" t="str">
        <f t="shared" si="3"/>
        <v xml:space="preserve">    X (  KC_X                                         , 0x001B,    "x"     ) \</v>
      </c>
    </row>
    <row r="28" spans="1:11" x14ac:dyDescent="0.25">
      <c r="A28" s="2" t="s">
        <v>52</v>
      </c>
      <c r="B28" s="2" t="s">
        <v>53</v>
      </c>
      <c r="C28" s="3" t="s">
        <v>1581</v>
      </c>
      <c r="D28" s="4" t="s">
        <v>1484</v>
      </c>
      <c r="E28" s="3" t="str">
        <f t="shared" si="0"/>
        <v xml:space="preserve">KC_Y                                         </v>
      </c>
      <c r="F28" s="3" t="s">
        <v>1472</v>
      </c>
      <c r="G28" s="3" t="str">
        <f t="shared" si="1"/>
        <v>0x001C</v>
      </c>
      <c r="H28" s="3" t="s">
        <v>1483</v>
      </c>
      <c r="I28" s="3" t="str">
        <f t="shared" si="2"/>
        <v>y</v>
      </c>
      <c r="J28" s="5" t="s">
        <v>1482</v>
      </c>
      <c r="K28" s="2" t="str">
        <f t="shared" si="3"/>
        <v xml:space="preserve">    X (  KC_Y                                         , 0x001C,    "y"     ) \</v>
      </c>
    </row>
    <row r="29" spans="1:11" x14ac:dyDescent="0.25">
      <c r="A29" s="2" t="s">
        <v>54</v>
      </c>
      <c r="B29" s="2" t="s">
        <v>55</v>
      </c>
      <c r="C29" s="3" t="s">
        <v>1582</v>
      </c>
      <c r="D29" s="4" t="s">
        <v>1484</v>
      </c>
      <c r="E29" s="3" t="str">
        <f t="shared" si="0"/>
        <v xml:space="preserve">KC_Z                                         </v>
      </c>
      <c r="F29" s="3" t="s">
        <v>1472</v>
      </c>
      <c r="G29" s="3" t="str">
        <f t="shared" si="1"/>
        <v>0x001D</v>
      </c>
      <c r="H29" s="3" t="s">
        <v>1483</v>
      </c>
      <c r="I29" s="3" t="str">
        <f t="shared" si="2"/>
        <v>z</v>
      </c>
      <c r="J29" s="5" t="s">
        <v>1482</v>
      </c>
      <c r="K29" s="2" t="str">
        <f t="shared" si="3"/>
        <v xml:space="preserve">    X (  KC_Z                                         , 0x001D,    "z"     ) \</v>
      </c>
    </row>
    <row r="30" spans="1:11" x14ac:dyDescent="0.25">
      <c r="A30" s="2" t="s">
        <v>56</v>
      </c>
      <c r="B30" s="2" t="s">
        <v>57</v>
      </c>
      <c r="C30" s="3">
        <v>1</v>
      </c>
      <c r="D30" s="4" t="s">
        <v>1484</v>
      </c>
      <c r="E30" s="3" t="str">
        <f t="shared" si="0"/>
        <v xml:space="preserve">KC_1                                         </v>
      </c>
      <c r="F30" s="3" t="s">
        <v>1472</v>
      </c>
      <c r="G30" s="3" t="str">
        <f t="shared" si="1"/>
        <v>0x001E</v>
      </c>
      <c r="H30" s="3" t="s">
        <v>1483</v>
      </c>
      <c r="I30" s="3">
        <f t="shared" si="2"/>
        <v>1</v>
      </c>
      <c r="J30" s="5" t="s">
        <v>1482</v>
      </c>
      <c r="K30" s="2" t="str">
        <f t="shared" si="3"/>
        <v xml:space="preserve">    X (  KC_1                                         , 0x001E,    "1"     ) \</v>
      </c>
    </row>
    <row r="31" spans="1:11" x14ac:dyDescent="0.25">
      <c r="A31" s="2" t="s">
        <v>58</v>
      </c>
      <c r="B31" s="2" t="s">
        <v>59</v>
      </c>
      <c r="C31" s="3">
        <v>2</v>
      </c>
      <c r="D31" s="4" t="s">
        <v>1484</v>
      </c>
      <c r="E31" s="3" t="str">
        <f t="shared" si="0"/>
        <v xml:space="preserve">KC_2                                         </v>
      </c>
      <c r="F31" s="3" t="s">
        <v>1472</v>
      </c>
      <c r="G31" s="3" t="str">
        <f t="shared" si="1"/>
        <v>0x001F</v>
      </c>
      <c r="H31" s="3" t="s">
        <v>1483</v>
      </c>
      <c r="I31" s="3">
        <f t="shared" si="2"/>
        <v>2</v>
      </c>
      <c r="J31" s="5" t="s">
        <v>1482</v>
      </c>
      <c r="K31" s="2" t="str">
        <f t="shared" si="3"/>
        <v xml:space="preserve">    X (  KC_2                                         , 0x001F,    "2"     ) \</v>
      </c>
    </row>
    <row r="32" spans="1:11" x14ac:dyDescent="0.25">
      <c r="A32" s="2" t="s">
        <v>60</v>
      </c>
      <c r="B32" s="2" t="s">
        <v>61</v>
      </c>
      <c r="C32" s="3">
        <v>3</v>
      </c>
      <c r="D32" s="4" t="s">
        <v>1484</v>
      </c>
      <c r="E32" s="3" t="str">
        <f t="shared" si="0"/>
        <v xml:space="preserve">KC_3                                         </v>
      </c>
      <c r="F32" s="3" t="s">
        <v>1472</v>
      </c>
      <c r="G32" s="3" t="str">
        <f t="shared" si="1"/>
        <v>0x0020</v>
      </c>
      <c r="H32" s="3" t="s">
        <v>1483</v>
      </c>
      <c r="I32" s="3">
        <f t="shared" si="2"/>
        <v>3</v>
      </c>
      <c r="J32" s="5" t="s">
        <v>1482</v>
      </c>
      <c r="K32" s="2" t="str">
        <f t="shared" si="3"/>
        <v xml:space="preserve">    X (  KC_3                                         , 0x0020,    "3"     ) \</v>
      </c>
    </row>
    <row r="33" spans="1:11" x14ac:dyDescent="0.25">
      <c r="A33" s="2" t="s">
        <v>62</v>
      </c>
      <c r="B33" s="2" t="s">
        <v>63</v>
      </c>
      <c r="C33" s="3">
        <v>4</v>
      </c>
      <c r="D33" s="4" t="s">
        <v>1484</v>
      </c>
      <c r="E33" s="3" t="str">
        <f t="shared" si="0"/>
        <v xml:space="preserve">KC_4                                         </v>
      </c>
      <c r="F33" s="3" t="s">
        <v>1472</v>
      </c>
      <c r="G33" s="3" t="str">
        <f t="shared" si="1"/>
        <v>0x0021</v>
      </c>
      <c r="H33" s="3" t="s">
        <v>1483</v>
      </c>
      <c r="I33" s="3">
        <f t="shared" si="2"/>
        <v>4</v>
      </c>
      <c r="J33" s="5" t="s">
        <v>1482</v>
      </c>
      <c r="K33" s="2" t="str">
        <f t="shared" si="3"/>
        <v xml:space="preserve">    X (  KC_4                                         , 0x0021,    "4"     ) \</v>
      </c>
    </row>
    <row r="34" spans="1:11" x14ac:dyDescent="0.25">
      <c r="A34" s="2" t="s">
        <v>64</v>
      </c>
      <c r="B34" s="2" t="s">
        <v>65</v>
      </c>
      <c r="C34" s="3">
        <v>5</v>
      </c>
      <c r="D34" s="4" t="s">
        <v>1484</v>
      </c>
      <c r="E34" s="3" t="str">
        <f t="shared" si="0"/>
        <v xml:space="preserve">KC_5                                         </v>
      </c>
      <c r="F34" s="3" t="s">
        <v>1472</v>
      </c>
      <c r="G34" s="3" t="str">
        <f t="shared" si="1"/>
        <v>0x0022</v>
      </c>
      <c r="H34" s="3" t="s">
        <v>1483</v>
      </c>
      <c r="I34" s="3">
        <f t="shared" si="2"/>
        <v>5</v>
      </c>
      <c r="J34" s="5" t="s">
        <v>1482</v>
      </c>
      <c r="K34" s="2" t="str">
        <f t="shared" si="3"/>
        <v xml:space="preserve">    X (  KC_5                                         , 0x0022,    "5"     ) \</v>
      </c>
    </row>
    <row r="35" spans="1:11" x14ac:dyDescent="0.25">
      <c r="A35" s="2" t="s">
        <v>66</v>
      </c>
      <c r="B35" s="2" t="s">
        <v>67</v>
      </c>
      <c r="C35" s="3">
        <v>6</v>
      </c>
      <c r="D35" s="4" t="s">
        <v>1484</v>
      </c>
      <c r="E35" s="3" t="str">
        <f t="shared" si="0"/>
        <v xml:space="preserve">KC_6                                         </v>
      </c>
      <c r="F35" s="3" t="s">
        <v>1472</v>
      </c>
      <c r="G35" s="3" t="str">
        <f t="shared" si="1"/>
        <v>0x0023</v>
      </c>
      <c r="H35" s="3" t="s">
        <v>1483</v>
      </c>
      <c r="I35" s="3">
        <f t="shared" si="2"/>
        <v>6</v>
      </c>
      <c r="J35" s="5" t="s">
        <v>1482</v>
      </c>
      <c r="K35" s="2" t="str">
        <f t="shared" si="3"/>
        <v xml:space="preserve">    X (  KC_6                                         , 0x0023,    "6"     ) \</v>
      </c>
    </row>
    <row r="36" spans="1:11" x14ac:dyDescent="0.25">
      <c r="A36" s="2" t="s">
        <v>68</v>
      </c>
      <c r="B36" s="2" t="s">
        <v>69</v>
      </c>
      <c r="C36" s="3">
        <v>7</v>
      </c>
      <c r="D36" s="4" t="s">
        <v>1484</v>
      </c>
      <c r="E36" s="3" t="str">
        <f t="shared" si="0"/>
        <v xml:space="preserve">KC_7                                         </v>
      </c>
      <c r="F36" s="3" t="s">
        <v>1472</v>
      </c>
      <c r="G36" s="3" t="str">
        <f t="shared" si="1"/>
        <v>0x0024</v>
      </c>
      <c r="H36" s="3" t="s">
        <v>1483</v>
      </c>
      <c r="I36" s="3">
        <f t="shared" si="2"/>
        <v>7</v>
      </c>
      <c r="J36" s="5" t="s">
        <v>1482</v>
      </c>
      <c r="K36" s="2" t="str">
        <f t="shared" si="3"/>
        <v xml:space="preserve">    X (  KC_7                                         , 0x0024,    "7"     ) \</v>
      </c>
    </row>
    <row r="37" spans="1:11" x14ac:dyDescent="0.25">
      <c r="A37" s="2" t="s">
        <v>70</v>
      </c>
      <c r="B37" s="2" t="s">
        <v>71</v>
      </c>
      <c r="C37" s="3">
        <v>8</v>
      </c>
      <c r="D37" s="4" t="s">
        <v>1484</v>
      </c>
      <c r="E37" s="3" t="str">
        <f t="shared" si="0"/>
        <v xml:space="preserve">KC_8                                         </v>
      </c>
      <c r="F37" s="3" t="s">
        <v>1472</v>
      </c>
      <c r="G37" s="3" t="str">
        <f t="shared" si="1"/>
        <v>0x0025</v>
      </c>
      <c r="H37" s="3" t="s">
        <v>1483</v>
      </c>
      <c r="I37" s="3">
        <f t="shared" si="2"/>
        <v>8</v>
      </c>
      <c r="J37" s="5" t="s">
        <v>1482</v>
      </c>
      <c r="K37" s="2" t="str">
        <f t="shared" si="3"/>
        <v xml:space="preserve">    X (  KC_8                                         , 0x0025,    "8"     ) \</v>
      </c>
    </row>
    <row r="38" spans="1:11" x14ac:dyDescent="0.25">
      <c r="A38" s="2" t="s">
        <v>72</v>
      </c>
      <c r="B38" s="2" t="s">
        <v>73</v>
      </c>
      <c r="C38" s="3">
        <v>9</v>
      </c>
      <c r="D38" s="4" t="s">
        <v>1484</v>
      </c>
      <c r="E38" s="3" t="str">
        <f t="shared" si="0"/>
        <v xml:space="preserve">KC_9                                         </v>
      </c>
      <c r="F38" s="3" t="s">
        <v>1472</v>
      </c>
      <c r="G38" s="3" t="str">
        <f t="shared" si="1"/>
        <v>0x0026</v>
      </c>
      <c r="H38" s="3" t="s">
        <v>1483</v>
      </c>
      <c r="I38" s="3">
        <f t="shared" si="2"/>
        <v>9</v>
      </c>
      <c r="J38" s="5" t="s">
        <v>1482</v>
      </c>
      <c r="K38" s="2" t="str">
        <f t="shared" si="3"/>
        <v xml:space="preserve">    X (  KC_9                                         , 0x0026,    "9"     ) \</v>
      </c>
    </row>
    <row r="39" spans="1:11" x14ac:dyDescent="0.25">
      <c r="A39" s="2" t="s">
        <v>74</v>
      </c>
      <c r="B39" s="2" t="s">
        <v>75</v>
      </c>
      <c r="C39" s="3">
        <v>0</v>
      </c>
      <c r="D39" s="4" t="s">
        <v>1484</v>
      </c>
      <c r="E39" s="3" t="str">
        <f t="shared" si="0"/>
        <v xml:space="preserve">KC_0                                         </v>
      </c>
      <c r="F39" s="3" t="s">
        <v>1472</v>
      </c>
      <c r="G39" s="3" t="str">
        <f t="shared" si="1"/>
        <v>0x0027</v>
      </c>
      <c r="H39" s="3" t="s">
        <v>1483</v>
      </c>
      <c r="I39" s="3">
        <f t="shared" si="2"/>
        <v>0</v>
      </c>
      <c r="J39" s="5" t="s">
        <v>1482</v>
      </c>
      <c r="K39" s="2" t="str">
        <f t="shared" si="3"/>
        <v xml:space="preserve">    X (  KC_0                                         , 0x0027,    "0"     ) \</v>
      </c>
    </row>
    <row r="40" spans="1:11" x14ac:dyDescent="0.25">
      <c r="A40" s="2" t="s">
        <v>76</v>
      </c>
      <c r="B40" s="2" t="s">
        <v>77</v>
      </c>
      <c r="C40" s="3" t="s">
        <v>1473</v>
      </c>
      <c r="D40" s="4" t="s">
        <v>1484</v>
      </c>
      <c r="E40" s="3" t="str">
        <f t="shared" si="0"/>
        <v xml:space="preserve">KC_ENTER                                     </v>
      </c>
      <c r="F40" s="3" t="s">
        <v>1472</v>
      </c>
      <c r="G40" s="3" t="str">
        <f t="shared" si="1"/>
        <v>0x0028</v>
      </c>
      <c r="H40" s="3" t="s">
        <v>1483</v>
      </c>
      <c r="I40" s="3" t="str">
        <f t="shared" si="2"/>
        <v>Ent</v>
      </c>
      <c r="J40" s="5" t="s">
        <v>1482</v>
      </c>
      <c r="K40" s="2" t="str">
        <f t="shared" si="3"/>
        <v xml:space="preserve">    X (  KC_ENTER                                     , 0x0028,    "Ent"     ) \</v>
      </c>
    </row>
    <row r="41" spans="1:11" x14ac:dyDescent="0.25">
      <c r="A41" s="2" t="s">
        <v>78</v>
      </c>
      <c r="B41" s="2" t="s">
        <v>79</v>
      </c>
      <c r="C41" s="3" t="s">
        <v>1474</v>
      </c>
      <c r="D41" s="4" t="s">
        <v>1484</v>
      </c>
      <c r="E41" s="3" t="str">
        <f t="shared" si="0"/>
        <v xml:space="preserve">KC_ESCAPE                                    </v>
      </c>
      <c r="F41" s="3" t="s">
        <v>1472</v>
      </c>
      <c r="G41" s="3" t="str">
        <f t="shared" si="1"/>
        <v>0x0029</v>
      </c>
      <c r="H41" s="3" t="s">
        <v>1483</v>
      </c>
      <c r="I41" s="3" t="str">
        <f t="shared" si="2"/>
        <v>Esc</v>
      </c>
      <c r="J41" s="5" t="s">
        <v>1482</v>
      </c>
      <c r="K41" s="2" t="str">
        <f t="shared" si="3"/>
        <v xml:space="preserve">    X (  KC_ESCAPE                                    , 0x0029,    "Esc"     ) \</v>
      </c>
    </row>
    <row r="42" spans="1:11" x14ac:dyDescent="0.25">
      <c r="A42" s="2" t="s">
        <v>80</v>
      </c>
      <c r="B42" s="2" t="s">
        <v>81</v>
      </c>
      <c r="C42" s="3" t="s">
        <v>1475</v>
      </c>
      <c r="D42" s="4" t="s">
        <v>1484</v>
      </c>
      <c r="E42" s="3" t="str">
        <f t="shared" si="0"/>
        <v xml:space="preserve">KC_BACKSPACE                                 </v>
      </c>
      <c r="F42" s="3" t="s">
        <v>1472</v>
      </c>
      <c r="G42" s="3" t="str">
        <f t="shared" si="1"/>
        <v>0x002A</v>
      </c>
      <c r="H42" s="3" t="s">
        <v>1483</v>
      </c>
      <c r="I42" s="3" t="str">
        <f t="shared" si="2"/>
        <v>BKSP</v>
      </c>
      <c r="J42" s="5" t="s">
        <v>1482</v>
      </c>
      <c r="K42" s="2" t="str">
        <f t="shared" si="3"/>
        <v xml:space="preserve">    X (  KC_BACKSPACE                                 , 0x002A,    "BKSP"     ) \</v>
      </c>
    </row>
    <row r="43" spans="1:11" x14ac:dyDescent="0.25">
      <c r="A43" s="2" t="s">
        <v>82</v>
      </c>
      <c r="B43" s="2" t="s">
        <v>83</v>
      </c>
      <c r="C43" s="3" t="s">
        <v>1476</v>
      </c>
      <c r="D43" s="4" t="s">
        <v>1484</v>
      </c>
      <c r="E43" s="3" t="str">
        <f t="shared" si="0"/>
        <v xml:space="preserve">KC_TAB                                       </v>
      </c>
      <c r="F43" s="3" t="s">
        <v>1472</v>
      </c>
      <c r="G43" s="3" t="str">
        <f t="shared" si="1"/>
        <v>0x002B</v>
      </c>
      <c r="H43" s="3" t="s">
        <v>1483</v>
      </c>
      <c r="I43" s="3" t="str">
        <f t="shared" si="2"/>
        <v>Tab</v>
      </c>
      <c r="J43" s="5" t="s">
        <v>1482</v>
      </c>
      <c r="K43" s="2" t="str">
        <f t="shared" si="3"/>
        <v xml:space="preserve">    X (  KC_TAB                                       , 0x002B,    "Tab"     ) \</v>
      </c>
    </row>
    <row r="44" spans="1:11" x14ac:dyDescent="0.25">
      <c r="A44" s="2" t="s">
        <v>84</v>
      </c>
      <c r="B44" s="2" t="s">
        <v>85</v>
      </c>
      <c r="C44" s="3" t="s">
        <v>1477</v>
      </c>
      <c r="D44" s="4" t="s">
        <v>1484</v>
      </c>
      <c r="E44" s="3" t="str">
        <f t="shared" si="0"/>
        <v xml:space="preserve">KC_SPACE                                     </v>
      </c>
      <c r="F44" s="3" t="s">
        <v>1472</v>
      </c>
      <c r="G44" s="3" t="str">
        <f t="shared" si="1"/>
        <v>0x002C</v>
      </c>
      <c r="H44" s="3" t="s">
        <v>1483</v>
      </c>
      <c r="I44" s="3" t="str">
        <f t="shared" si="2"/>
        <v>_</v>
      </c>
      <c r="J44" s="5" t="s">
        <v>1482</v>
      </c>
      <c r="K44" s="2" t="str">
        <f t="shared" si="3"/>
        <v xml:space="preserve">    X (  KC_SPACE                                     , 0x002C,    "_"     ) \</v>
      </c>
    </row>
    <row r="45" spans="1:11" x14ac:dyDescent="0.25">
      <c r="A45" s="2" t="s">
        <v>86</v>
      </c>
      <c r="B45" s="2" t="s">
        <v>87</v>
      </c>
      <c r="C45" s="3" t="s">
        <v>1478</v>
      </c>
      <c r="D45" s="4" t="s">
        <v>1484</v>
      </c>
      <c r="E45" s="3" t="str">
        <f t="shared" si="0"/>
        <v xml:space="preserve">KC_MINUS                                     </v>
      </c>
      <c r="F45" s="3" t="s">
        <v>1472</v>
      </c>
      <c r="G45" s="3" t="str">
        <f t="shared" si="1"/>
        <v>0x002D</v>
      </c>
      <c r="H45" s="3" t="s">
        <v>1483</v>
      </c>
      <c r="I45" s="3" t="str">
        <f t="shared" si="2"/>
        <v>-</v>
      </c>
      <c r="J45" s="5" t="s">
        <v>1482</v>
      </c>
      <c r="K45" s="2" t="str">
        <f t="shared" si="3"/>
        <v xml:space="preserve">    X (  KC_MINUS                                     , 0x002D,    "-"     ) \</v>
      </c>
    </row>
    <row r="46" spans="1:11" x14ac:dyDescent="0.25">
      <c r="A46" s="2" t="s">
        <v>88</v>
      </c>
      <c r="B46" s="2" t="s">
        <v>89</v>
      </c>
      <c r="C46" s="6" t="s">
        <v>1479</v>
      </c>
      <c r="D46" s="4" t="s">
        <v>1484</v>
      </c>
      <c r="E46" s="3" t="str">
        <f t="shared" si="0"/>
        <v xml:space="preserve">KC_EQUAL                                     </v>
      </c>
      <c r="F46" s="3" t="s">
        <v>1472</v>
      </c>
      <c r="G46" s="3" t="str">
        <f t="shared" si="1"/>
        <v>0x002E</v>
      </c>
      <c r="H46" s="3" t="s">
        <v>1483</v>
      </c>
      <c r="I46" s="3" t="str">
        <f t="shared" si="2"/>
        <v>=</v>
      </c>
      <c r="J46" s="5" t="s">
        <v>1482</v>
      </c>
      <c r="K46" s="2" t="str">
        <f t="shared" si="3"/>
        <v xml:space="preserve">    X (  KC_EQUAL                                     , 0x002E,    "="     ) \</v>
      </c>
    </row>
    <row r="47" spans="1:11" x14ac:dyDescent="0.25">
      <c r="A47" s="2" t="s">
        <v>90</v>
      </c>
      <c r="B47" s="2" t="s">
        <v>91</v>
      </c>
      <c r="D47" s="4" t="s">
        <v>1484</v>
      </c>
      <c r="E47" s="3" t="str">
        <f t="shared" ref="E47:E66" si="4">LEFT(A47 &amp; REPT(" ",$E$1),$E$1)</f>
        <v xml:space="preserve">KC_LEFT_BRACKET                              </v>
      </c>
      <c r="F47" s="3" t="s">
        <v>1472</v>
      </c>
      <c r="G47" s="3" t="str">
        <f t="shared" ref="G47:G66" si="5">B47</f>
        <v>0x002F</v>
      </c>
      <c r="H47" s="3" t="s">
        <v>1483</v>
      </c>
      <c r="I47" s="3" t="str">
        <f t="shared" si="2"/>
        <v/>
      </c>
      <c r="J47" s="5" t="s">
        <v>1482</v>
      </c>
      <c r="K47" s="2" t="str">
        <f t="shared" si="3"/>
        <v/>
      </c>
    </row>
    <row r="48" spans="1:11" x14ac:dyDescent="0.25">
      <c r="A48" s="2" t="s">
        <v>92</v>
      </c>
      <c r="B48" s="2" t="s">
        <v>93</v>
      </c>
      <c r="D48" s="4" t="s">
        <v>1484</v>
      </c>
      <c r="E48" s="3" t="str">
        <f t="shared" si="4"/>
        <v xml:space="preserve">KC_RIGHT_BRACKET                             </v>
      </c>
      <c r="F48" s="3" t="s">
        <v>1472</v>
      </c>
      <c r="G48" s="3" t="str">
        <f t="shared" si="5"/>
        <v>0x0030</v>
      </c>
      <c r="H48" s="3" t="s">
        <v>1483</v>
      </c>
      <c r="I48" s="3" t="str">
        <f t="shared" si="2"/>
        <v/>
      </c>
      <c r="J48" s="5" t="s">
        <v>1482</v>
      </c>
      <c r="K48" s="2" t="str">
        <f t="shared" si="3"/>
        <v/>
      </c>
    </row>
    <row r="49" spans="1:11" x14ac:dyDescent="0.25">
      <c r="A49" s="2" t="s">
        <v>94</v>
      </c>
      <c r="B49" s="2" t="s">
        <v>95</v>
      </c>
      <c r="D49" s="4" t="s">
        <v>1484</v>
      </c>
      <c r="E49" s="3" t="str">
        <f t="shared" si="4"/>
        <v xml:space="preserve">KC_BACKSLASH                                 </v>
      </c>
      <c r="F49" s="3" t="s">
        <v>1472</v>
      </c>
      <c r="G49" s="3" t="str">
        <f t="shared" si="5"/>
        <v>0x0031</v>
      </c>
      <c r="H49" s="3" t="s">
        <v>1483</v>
      </c>
      <c r="I49" s="3" t="str">
        <f t="shared" si="2"/>
        <v/>
      </c>
      <c r="J49" s="5" t="s">
        <v>1482</v>
      </c>
      <c r="K49" s="2" t="str">
        <f t="shared" si="3"/>
        <v/>
      </c>
    </row>
    <row r="50" spans="1:11" x14ac:dyDescent="0.25">
      <c r="A50" s="2" t="s">
        <v>96</v>
      </c>
      <c r="B50" s="2" t="s">
        <v>97</v>
      </c>
      <c r="D50" s="4" t="s">
        <v>1484</v>
      </c>
      <c r="E50" s="3" t="str">
        <f t="shared" si="4"/>
        <v xml:space="preserve">KC_NONUS_HASH                                </v>
      </c>
      <c r="F50" s="3" t="s">
        <v>1472</v>
      </c>
      <c r="G50" s="3" t="str">
        <f t="shared" si="5"/>
        <v>0x0032</v>
      </c>
      <c r="H50" s="3" t="s">
        <v>1483</v>
      </c>
      <c r="I50" s="3" t="str">
        <f t="shared" si="2"/>
        <v/>
      </c>
      <c r="J50" s="5" t="s">
        <v>1482</v>
      </c>
      <c r="K50" s="2" t="str">
        <f t="shared" si="3"/>
        <v/>
      </c>
    </row>
    <row r="51" spans="1:11" x14ac:dyDescent="0.25">
      <c r="A51" s="2" t="s">
        <v>98</v>
      </c>
      <c r="B51" s="2" t="s">
        <v>99</v>
      </c>
      <c r="D51" s="4" t="s">
        <v>1484</v>
      </c>
      <c r="E51" s="3" t="str">
        <f t="shared" si="4"/>
        <v xml:space="preserve">KC_SEMICOLON                                 </v>
      </c>
      <c r="F51" s="3" t="s">
        <v>1472</v>
      </c>
      <c r="G51" s="3" t="str">
        <f t="shared" si="5"/>
        <v>0x0033</v>
      </c>
      <c r="H51" s="3" t="s">
        <v>1483</v>
      </c>
      <c r="I51" s="3" t="str">
        <f t="shared" si="2"/>
        <v/>
      </c>
      <c r="J51" s="5" t="s">
        <v>1482</v>
      </c>
      <c r="K51" s="2" t="str">
        <f t="shared" si="3"/>
        <v/>
      </c>
    </row>
    <row r="52" spans="1:11" x14ac:dyDescent="0.25">
      <c r="A52" s="2" t="s">
        <v>100</v>
      </c>
      <c r="B52" s="2" t="s">
        <v>101</v>
      </c>
      <c r="D52" s="4" t="s">
        <v>1484</v>
      </c>
      <c r="E52" s="3" t="str">
        <f t="shared" si="4"/>
        <v xml:space="preserve">KC_QUOTE                                     </v>
      </c>
      <c r="F52" s="3" t="s">
        <v>1472</v>
      </c>
      <c r="G52" s="3" t="str">
        <f t="shared" si="5"/>
        <v>0x0034</v>
      </c>
      <c r="H52" s="3" t="s">
        <v>1483</v>
      </c>
      <c r="I52" s="3" t="str">
        <f t="shared" si="2"/>
        <v/>
      </c>
      <c r="J52" s="5" t="s">
        <v>1482</v>
      </c>
      <c r="K52" s="2" t="str">
        <f t="shared" si="3"/>
        <v/>
      </c>
    </row>
    <row r="53" spans="1:11" x14ac:dyDescent="0.25">
      <c r="A53" s="2" t="s">
        <v>102</v>
      </c>
      <c r="B53" s="2" t="s">
        <v>103</v>
      </c>
      <c r="D53" s="4" t="s">
        <v>1484</v>
      </c>
      <c r="E53" s="3" t="str">
        <f t="shared" si="4"/>
        <v xml:space="preserve">KC_GRAVE                                     </v>
      </c>
      <c r="F53" s="3" t="s">
        <v>1472</v>
      </c>
      <c r="G53" s="3" t="str">
        <f t="shared" si="5"/>
        <v>0x0035</v>
      </c>
      <c r="H53" s="3" t="s">
        <v>1483</v>
      </c>
      <c r="I53" s="3" t="str">
        <f t="shared" si="2"/>
        <v/>
      </c>
      <c r="J53" s="5" t="s">
        <v>1482</v>
      </c>
      <c r="K53" s="2" t="str">
        <f t="shared" si="3"/>
        <v/>
      </c>
    </row>
    <row r="54" spans="1:11" x14ac:dyDescent="0.25">
      <c r="A54" s="2" t="s">
        <v>104</v>
      </c>
      <c r="B54" s="2" t="s">
        <v>105</v>
      </c>
      <c r="D54" s="4" t="s">
        <v>1484</v>
      </c>
      <c r="E54" s="3" t="str">
        <f t="shared" si="4"/>
        <v xml:space="preserve">KC_COMMA                                     </v>
      </c>
      <c r="F54" s="3" t="s">
        <v>1472</v>
      </c>
      <c r="G54" s="3" t="str">
        <f t="shared" si="5"/>
        <v>0x0036</v>
      </c>
      <c r="H54" s="3" t="s">
        <v>1483</v>
      </c>
      <c r="I54" s="3" t="str">
        <f t="shared" si="2"/>
        <v/>
      </c>
      <c r="J54" s="5" t="s">
        <v>1482</v>
      </c>
      <c r="K54" s="2" t="str">
        <f t="shared" si="3"/>
        <v/>
      </c>
    </row>
    <row r="55" spans="1:11" x14ac:dyDescent="0.25">
      <c r="A55" s="2" t="s">
        <v>106</v>
      </c>
      <c r="B55" s="2" t="s">
        <v>107</v>
      </c>
      <c r="D55" s="4" t="s">
        <v>1484</v>
      </c>
      <c r="E55" s="3" t="str">
        <f t="shared" si="4"/>
        <v xml:space="preserve">KC_DOT                                       </v>
      </c>
      <c r="F55" s="3" t="s">
        <v>1472</v>
      </c>
      <c r="G55" s="3" t="str">
        <f t="shared" si="5"/>
        <v>0x0037</v>
      </c>
      <c r="H55" s="3" t="s">
        <v>1483</v>
      </c>
      <c r="I55" s="3" t="str">
        <f t="shared" si="2"/>
        <v/>
      </c>
      <c r="J55" s="5" t="s">
        <v>1482</v>
      </c>
      <c r="K55" s="2" t="str">
        <f t="shared" si="3"/>
        <v/>
      </c>
    </row>
    <row r="56" spans="1:11" x14ac:dyDescent="0.25">
      <c r="A56" s="2" t="s">
        <v>108</v>
      </c>
      <c r="B56" s="2" t="s">
        <v>109</v>
      </c>
      <c r="D56" s="4" t="s">
        <v>1484</v>
      </c>
      <c r="E56" s="3" t="str">
        <f t="shared" si="4"/>
        <v xml:space="preserve">KC_SLASH                                     </v>
      </c>
      <c r="F56" s="3" t="s">
        <v>1472</v>
      </c>
      <c r="G56" s="3" t="str">
        <f t="shared" si="5"/>
        <v>0x0038</v>
      </c>
      <c r="H56" s="3" t="s">
        <v>1483</v>
      </c>
      <c r="I56" s="3" t="str">
        <f t="shared" si="2"/>
        <v/>
      </c>
      <c r="J56" s="5" t="s">
        <v>1482</v>
      </c>
      <c r="K56" s="2" t="str">
        <f t="shared" si="3"/>
        <v/>
      </c>
    </row>
    <row r="57" spans="1:11" x14ac:dyDescent="0.25">
      <c r="A57" s="2" t="s">
        <v>110</v>
      </c>
      <c r="B57" s="2" t="s">
        <v>111</v>
      </c>
      <c r="D57" s="4" t="s">
        <v>1484</v>
      </c>
      <c r="E57" s="3" t="str">
        <f t="shared" si="4"/>
        <v xml:space="preserve">KC_CAPS_LOCK                                 </v>
      </c>
      <c r="F57" s="3" t="s">
        <v>1472</v>
      </c>
      <c r="G57" s="3" t="str">
        <f t="shared" si="5"/>
        <v>0x0039</v>
      </c>
      <c r="H57" s="3" t="s">
        <v>1483</v>
      </c>
      <c r="I57" s="3" t="str">
        <f t="shared" si="2"/>
        <v/>
      </c>
      <c r="J57" s="5" t="s">
        <v>1482</v>
      </c>
      <c r="K57" s="2" t="str">
        <f t="shared" si="3"/>
        <v/>
      </c>
    </row>
    <row r="58" spans="1:11" x14ac:dyDescent="0.25">
      <c r="A58" s="2" t="s">
        <v>112</v>
      </c>
      <c r="B58" s="2" t="s">
        <v>113</v>
      </c>
      <c r="C58" s="3" t="s">
        <v>1485</v>
      </c>
      <c r="D58" s="4" t="s">
        <v>1484</v>
      </c>
      <c r="E58" s="3" t="str">
        <f t="shared" si="4"/>
        <v xml:space="preserve">KC_F1                                        </v>
      </c>
      <c r="F58" s="3" t="s">
        <v>1472</v>
      </c>
      <c r="G58" s="3" t="str">
        <f t="shared" si="5"/>
        <v>0x003A</v>
      </c>
      <c r="H58" s="3" t="s">
        <v>1483</v>
      </c>
      <c r="I58" s="3" t="str">
        <f t="shared" si="2"/>
        <v>F1</v>
      </c>
      <c r="J58" s="5" t="s">
        <v>1482</v>
      </c>
      <c r="K58" s="2" t="str">
        <f t="shared" si="3"/>
        <v xml:space="preserve">    X (  KC_F1                                        , 0x003A,    "F1"     ) \</v>
      </c>
    </row>
    <row r="59" spans="1:11" x14ac:dyDescent="0.25">
      <c r="A59" s="2" t="s">
        <v>114</v>
      </c>
      <c r="B59" s="2" t="s">
        <v>115</v>
      </c>
      <c r="C59" s="3" t="s">
        <v>1486</v>
      </c>
      <c r="D59" s="4" t="s">
        <v>1484</v>
      </c>
      <c r="E59" s="3" t="str">
        <f t="shared" si="4"/>
        <v xml:space="preserve">KC_F2                                        </v>
      </c>
      <c r="F59" s="3" t="s">
        <v>1472</v>
      </c>
      <c r="G59" s="3" t="str">
        <f t="shared" si="5"/>
        <v>0x003B</v>
      </c>
      <c r="H59" s="3" t="s">
        <v>1483</v>
      </c>
      <c r="I59" s="3" t="str">
        <f t="shared" si="2"/>
        <v>F2</v>
      </c>
      <c r="J59" s="5" t="s">
        <v>1482</v>
      </c>
      <c r="K59" s="2" t="str">
        <f t="shared" si="3"/>
        <v xml:space="preserve">    X (  KC_F2                                        , 0x003B,    "F2"     ) \</v>
      </c>
    </row>
    <row r="60" spans="1:11" x14ac:dyDescent="0.25">
      <c r="A60" s="2" t="s">
        <v>116</v>
      </c>
      <c r="B60" s="2" t="s">
        <v>117</v>
      </c>
      <c r="C60" s="3" t="s">
        <v>1487</v>
      </c>
      <c r="D60" s="4" t="s">
        <v>1484</v>
      </c>
      <c r="E60" s="3" t="str">
        <f t="shared" si="4"/>
        <v xml:space="preserve">KC_F3                                        </v>
      </c>
      <c r="F60" s="3" t="s">
        <v>1472</v>
      </c>
      <c r="G60" s="3" t="str">
        <f t="shared" si="5"/>
        <v>0x003C</v>
      </c>
      <c r="H60" s="3" t="s">
        <v>1483</v>
      </c>
      <c r="I60" s="3" t="str">
        <f t="shared" si="2"/>
        <v>F3</v>
      </c>
      <c r="J60" s="5" t="s">
        <v>1482</v>
      </c>
      <c r="K60" s="2" t="str">
        <f t="shared" si="3"/>
        <v xml:space="preserve">    X (  KC_F3                                        , 0x003C,    "F3"     ) \</v>
      </c>
    </row>
    <row r="61" spans="1:11" x14ac:dyDescent="0.25">
      <c r="A61" s="2" t="s">
        <v>118</v>
      </c>
      <c r="B61" s="2" t="s">
        <v>119</v>
      </c>
      <c r="C61" s="3" t="s">
        <v>1488</v>
      </c>
      <c r="D61" s="4" t="s">
        <v>1484</v>
      </c>
      <c r="E61" s="3" t="str">
        <f t="shared" si="4"/>
        <v xml:space="preserve">KC_F4                                        </v>
      </c>
      <c r="F61" s="3" t="s">
        <v>1472</v>
      </c>
      <c r="G61" s="3" t="str">
        <f t="shared" si="5"/>
        <v>0x003D</v>
      </c>
      <c r="H61" s="3" t="s">
        <v>1483</v>
      </c>
      <c r="I61" s="3" t="str">
        <f t="shared" si="2"/>
        <v>F4</v>
      </c>
      <c r="J61" s="5" t="s">
        <v>1482</v>
      </c>
      <c r="K61" s="2" t="str">
        <f t="shared" si="3"/>
        <v xml:space="preserve">    X (  KC_F4                                        , 0x003D,    "F4"     ) \</v>
      </c>
    </row>
    <row r="62" spans="1:11" x14ac:dyDescent="0.25">
      <c r="A62" s="2" t="s">
        <v>120</v>
      </c>
      <c r="B62" s="2" t="s">
        <v>121</v>
      </c>
      <c r="C62" s="3" t="s">
        <v>1489</v>
      </c>
      <c r="D62" s="4" t="s">
        <v>1484</v>
      </c>
      <c r="E62" s="3" t="str">
        <f t="shared" si="4"/>
        <v xml:space="preserve">KC_F5                                        </v>
      </c>
      <c r="F62" s="3" t="s">
        <v>1472</v>
      </c>
      <c r="G62" s="3" t="str">
        <f t="shared" si="5"/>
        <v>0x003E</v>
      </c>
      <c r="H62" s="3" t="s">
        <v>1483</v>
      </c>
      <c r="I62" s="3" t="str">
        <f t="shared" si="2"/>
        <v>F5</v>
      </c>
      <c r="J62" s="5" t="s">
        <v>1482</v>
      </c>
      <c r="K62" s="2" t="str">
        <f t="shared" si="3"/>
        <v xml:space="preserve">    X (  KC_F5                                        , 0x003E,    "F5"     ) \</v>
      </c>
    </row>
    <row r="63" spans="1:11" x14ac:dyDescent="0.25">
      <c r="A63" s="2" t="s">
        <v>122</v>
      </c>
      <c r="B63" s="2" t="s">
        <v>123</v>
      </c>
      <c r="C63" s="3" t="s">
        <v>1490</v>
      </c>
      <c r="D63" s="4" t="s">
        <v>1484</v>
      </c>
      <c r="E63" s="3" t="str">
        <f t="shared" si="4"/>
        <v xml:space="preserve">KC_F6                                        </v>
      </c>
      <c r="F63" s="3" t="s">
        <v>1472</v>
      </c>
      <c r="G63" s="3" t="str">
        <f t="shared" si="5"/>
        <v>0x003F</v>
      </c>
      <c r="H63" s="3" t="s">
        <v>1483</v>
      </c>
      <c r="I63" s="3" t="str">
        <f t="shared" si="2"/>
        <v>F6</v>
      </c>
      <c r="J63" s="5" t="s">
        <v>1482</v>
      </c>
      <c r="K63" s="2" t="str">
        <f t="shared" si="3"/>
        <v xml:space="preserve">    X (  KC_F6                                        , 0x003F,    "F6"     ) \</v>
      </c>
    </row>
    <row r="64" spans="1:11" x14ac:dyDescent="0.25">
      <c r="A64" s="2" t="s">
        <v>124</v>
      </c>
      <c r="B64" s="2" t="s">
        <v>125</v>
      </c>
      <c r="C64" s="3" t="s">
        <v>1491</v>
      </c>
      <c r="D64" s="4" t="s">
        <v>1484</v>
      </c>
      <c r="E64" s="3" t="str">
        <f t="shared" si="4"/>
        <v xml:space="preserve">KC_F7                                        </v>
      </c>
      <c r="F64" s="3" t="s">
        <v>1472</v>
      </c>
      <c r="G64" s="3" t="str">
        <f t="shared" si="5"/>
        <v>0x0040</v>
      </c>
      <c r="H64" s="3" t="s">
        <v>1483</v>
      </c>
      <c r="I64" s="3" t="str">
        <f t="shared" si="2"/>
        <v>F7</v>
      </c>
      <c r="J64" s="5" t="s">
        <v>1482</v>
      </c>
      <c r="K64" s="2" t="str">
        <f t="shared" si="3"/>
        <v xml:space="preserve">    X (  KC_F7                                        , 0x0040,    "F7"     ) \</v>
      </c>
    </row>
    <row r="65" spans="1:11" x14ac:dyDescent="0.25">
      <c r="A65" s="2" t="s">
        <v>126</v>
      </c>
      <c r="B65" s="2" t="s">
        <v>127</v>
      </c>
      <c r="C65" s="3" t="s">
        <v>1492</v>
      </c>
      <c r="D65" s="4" t="s">
        <v>1484</v>
      </c>
      <c r="E65" s="3" t="str">
        <f t="shared" si="4"/>
        <v xml:space="preserve">KC_F8                                        </v>
      </c>
      <c r="F65" s="3" t="s">
        <v>1472</v>
      </c>
      <c r="G65" s="3" t="str">
        <f t="shared" si="5"/>
        <v>0x0041</v>
      </c>
      <c r="H65" s="3" t="s">
        <v>1483</v>
      </c>
      <c r="I65" s="3" t="str">
        <f t="shared" si="2"/>
        <v>F8</v>
      </c>
      <c r="J65" s="5" t="s">
        <v>1482</v>
      </c>
      <c r="K65" s="2" t="str">
        <f t="shared" si="3"/>
        <v xml:space="preserve">    X (  KC_F8                                        , 0x0041,    "F8"     ) \</v>
      </c>
    </row>
    <row r="66" spans="1:11" x14ac:dyDescent="0.25">
      <c r="A66" s="2" t="s">
        <v>128</v>
      </c>
      <c r="B66" s="2" t="s">
        <v>129</v>
      </c>
      <c r="C66" s="3" t="s">
        <v>1493</v>
      </c>
      <c r="D66" s="4" t="s">
        <v>1484</v>
      </c>
      <c r="E66" s="3" t="str">
        <f t="shared" si="4"/>
        <v xml:space="preserve">KC_F9                                        </v>
      </c>
      <c r="F66" s="3" t="s">
        <v>1472</v>
      </c>
      <c r="G66" s="3" t="str">
        <f t="shared" si="5"/>
        <v>0x0042</v>
      </c>
      <c r="H66" s="3" t="s">
        <v>1483</v>
      </c>
      <c r="I66" s="3" t="str">
        <f t="shared" si="2"/>
        <v>F9</v>
      </c>
      <c r="J66" s="5" t="s">
        <v>1482</v>
      </c>
      <c r="K66" s="2" t="str">
        <f t="shared" si="3"/>
        <v xml:space="preserve">    X (  KC_F9                                        , 0x0042,    "F9"     ) \</v>
      </c>
    </row>
    <row r="67" spans="1:11" x14ac:dyDescent="0.25">
      <c r="A67" s="2" t="s">
        <v>130</v>
      </c>
      <c r="B67" s="2" t="s">
        <v>131</v>
      </c>
      <c r="C67" s="3" t="s">
        <v>1494</v>
      </c>
      <c r="D67" s="4" t="s">
        <v>1484</v>
      </c>
      <c r="E67" s="3" t="str">
        <f t="shared" ref="E67:E130" si="6">LEFT(A67 &amp; REPT(" ",$E$1),$E$1)</f>
        <v xml:space="preserve">KC_F10                                       </v>
      </c>
      <c r="F67" s="3" t="s">
        <v>1472</v>
      </c>
      <c r="G67" s="3" t="str">
        <f t="shared" ref="G67:G130" si="7">B67</f>
        <v>0x0043</v>
      </c>
      <c r="H67" s="3" t="s">
        <v>1483</v>
      </c>
      <c r="I67" s="3" t="str">
        <f t="shared" ref="I67:I130" si="8">IF(C67="","",C67)</f>
        <v>F10</v>
      </c>
      <c r="J67" s="5" t="s">
        <v>1482</v>
      </c>
      <c r="K67" s="2" t="str">
        <f t="shared" ref="K67:K130" si="9">IF(I67="","",_xlfn.CONCAT(D67:J67))</f>
        <v xml:space="preserve">    X (  KC_F10                                       , 0x0043,    "F10"     ) \</v>
      </c>
    </row>
    <row r="68" spans="1:11" x14ac:dyDescent="0.25">
      <c r="A68" s="2" t="s">
        <v>132</v>
      </c>
      <c r="B68" s="2" t="s">
        <v>133</v>
      </c>
      <c r="C68" s="3" t="s">
        <v>1495</v>
      </c>
      <c r="D68" s="4" t="s">
        <v>1484</v>
      </c>
      <c r="E68" s="3" t="str">
        <f t="shared" si="6"/>
        <v xml:space="preserve">KC_F11                                       </v>
      </c>
      <c r="F68" s="3" t="s">
        <v>1472</v>
      </c>
      <c r="G68" s="3" t="str">
        <f t="shared" si="7"/>
        <v>0x0044</v>
      </c>
      <c r="H68" s="3" t="s">
        <v>1483</v>
      </c>
      <c r="I68" s="3" t="str">
        <f t="shared" si="8"/>
        <v>F11</v>
      </c>
      <c r="J68" s="5" t="s">
        <v>1482</v>
      </c>
      <c r="K68" s="2" t="str">
        <f t="shared" si="9"/>
        <v xml:space="preserve">    X (  KC_F11                                       , 0x0044,    "F11"     ) \</v>
      </c>
    </row>
    <row r="69" spans="1:11" x14ac:dyDescent="0.25">
      <c r="A69" s="2" t="s">
        <v>134</v>
      </c>
      <c r="B69" s="2" t="s">
        <v>135</v>
      </c>
      <c r="C69" s="3" t="s">
        <v>1496</v>
      </c>
      <c r="D69" s="4" t="s">
        <v>1484</v>
      </c>
      <c r="E69" s="3" t="str">
        <f t="shared" si="6"/>
        <v xml:space="preserve">KC_F12                                       </v>
      </c>
      <c r="F69" s="3" t="s">
        <v>1472</v>
      </c>
      <c r="G69" s="3" t="str">
        <f t="shared" si="7"/>
        <v>0x0045</v>
      </c>
      <c r="H69" s="3" t="s">
        <v>1483</v>
      </c>
      <c r="I69" s="3" t="str">
        <f t="shared" si="8"/>
        <v>F12</v>
      </c>
      <c r="J69" s="5" t="s">
        <v>1482</v>
      </c>
      <c r="K69" s="2" t="str">
        <f t="shared" si="9"/>
        <v xml:space="preserve">    X (  KC_F12                                       , 0x0045,    "F12"     ) \</v>
      </c>
    </row>
    <row r="70" spans="1:11" x14ac:dyDescent="0.25">
      <c r="A70" s="2" t="s">
        <v>136</v>
      </c>
      <c r="B70" s="2" t="s">
        <v>137</v>
      </c>
      <c r="D70" s="4" t="s">
        <v>1484</v>
      </c>
      <c r="E70" s="3" t="str">
        <f t="shared" si="6"/>
        <v xml:space="preserve">KC_PRINT_SCREEN                              </v>
      </c>
      <c r="F70" s="3" t="s">
        <v>1472</v>
      </c>
      <c r="G70" s="3" t="str">
        <f t="shared" si="7"/>
        <v>0x0046</v>
      </c>
      <c r="H70" s="3" t="s">
        <v>1483</v>
      </c>
      <c r="I70" s="3" t="str">
        <f t="shared" si="8"/>
        <v/>
      </c>
      <c r="J70" s="5" t="s">
        <v>1482</v>
      </c>
      <c r="K70" s="2" t="str">
        <f t="shared" si="9"/>
        <v/>
      </c>
    </row>
    <row r="71" spans="1:11" x14ac:dyDescent="0.25">
      <c r="A71" s="2" t="s">
        <v>138</v>
      </c>
      <c r="B71" s="2" t="s">
        <v>139</v>
      </c>
      <c r="D71" s="4" t="s">
        <v>1484</v>
      </c>
      <c r="E71" s="3" t="str">
        <f t="shared" si="6"/>
        <v xml:space="preserve">KC_SCROLL_LOCK                               </v>
      </c>
      <c r="F71" s="3" t="s">
        <v>1472</v>
      </c>
      <c r="G71" s="3" t="str">
        <f t="shared" si="7"/>
        <v>0x0047</v>
      </c>
      <c r="H71" s="3" t="s">
        <v>1483</v>
      </c>
      <c r="I71" s="3" t="str">
        <f t="shared" si="8"/>
        <v/>
      </c>
      <c r="J71" s="5" t="s">
        <v>1482</v>
      </c>
      <c r="K71" s="2" t="str">
        <f t="shared" si="9"/>
        <v/>
      </c>
    </row>
    <row r="72" spans="1:11" x14ac:dyDescent="0.25">
      <c r="A72" s="2" t="s">
        <v>140</v>
      </c>
      <c r="B72" s="2" t="s">
        <v>141</v>
      </c>
      <c r="D72" s="4" t="s">
        <v>1484</v>
      </c>
      <c r="E72" s="3" t="str">
        <f t="shared" si="6"/>
        <v xml:space="preserve">KC_PAUSE                                     </v>
      </c>
      <c r="F72" s="3" t="s">
        <v>1472</v>
      </c>
      <c r="G72" s="3" t="str">
        <f t="shared" si="7"/>
        <v>0x0048</v>
      </c>
      <c r="H72" s="3" t="s">
        <v>1483</v>
      </c>
      <c r="I72" s="3" t="str">
        <f t="shared" si="8"/>
        <v/>
      </c>
      <c r="J72" s="5" t="s">
        <v>1482</v>
      </c>
      <c r="K72" s="2" t="str">
        <f t="shared" si="9"/>
        <v/>
      </c>
    </row>
    <row r="73" spans="1:11" x14ac:dyDescent="0.25">
      <c r="A73" s="2" t="s">
        <v>142</v>
      </c>
      <c r="B73" s="2" t="s">
        <v>143</v>
      </c>
      <c r="D73" s="4" t="s">
        <v>1484</v>
      </c>
      <c r="E73" s="3" t="str">
        <f t="shared" si="6"/>
        <v xml:space="preserve">KC_INSERT                                    </v>
      </c>
      <c r="F73" s="3" t="s">
        <v>1472</v>
      </c>
      <c r="G73" s="3" t="str">
        <f t="shared" si="7"/>
        <v>0x0049</v>
      </c>
      <c r="H73" s="3" t="s">
        <v>1483</v>
      </c>
      <c r="I73" s="3" t="str">
        <f t="shared" si="8"/>
        <v/>
      </c>
      <c r="J73" s="5" t="s">
        <v>1482</v>
      </c>
      <c r="K73" s="2" t="str">
        <f t="shared" si="9"/>
        <v/>
      </c>
    </row>
    <row r="74" spans="1:11" x14ac:dyDescent="0.25">
      <c r="A74" s="2" t="s">
        <v>144</v>
      </c>
      <c r="B74" s="2" t="s">
        <v>145</v>
      </c>
      <c r="D74" s="4" t="s">
        <v>1484</v>
      </c>
      <c r="E74" s="3" t="str">
        <f t="shared" si="6"/>
        <v xml:space="preserve">KC_HOME                                      </v>
      </c>
      <c r="F74" s="3" t="s">
        <v>1472</v>
      </c>
      <c r="G74" s="3" t="str">
        <f t="shared" si="7"/>
        <v>0x004A</v>
      </c>
      <c r="H74" s="3" t="s">
        <v>1483</v>
      </c>
      <c r="I74" s="3" t="str">
        <f t="shared" si="8"/>
        <v/>
      </c>
      <c r="J74" s="5" t="s">
        <v>1482</v>
      </c>
      <c r="K74" s="2" t="str">
        <f t="shared" si="9"/>
        <v/>
      </c>
    </row>
    <row r="75" spans="1:11" x14ac:dyDescent="0.25">
      <c r="A75" s="2" t="s">
        <v>146</v>
      </c>
      <c r="B75" s="2" t="s">
        <v>147</v>
      </c>
      <c r="D75" s="4" t="s">
        <v>1484</v>
      </c>
      <c r="E75" s="3" t="str">
        <f t="shared" si="6"/>
        <v xml:space="preserve">KC_PAGE_UP                                   </v>
      </c>
      <c r="F75" s="3" t="s">
        <v>1472</v>
      </c>
      <c r="G75" s="3" t="str">
        <f t="shared" si="7"/>
        <v>0x004B</v>
      </c>
      <c r="H75" s="3" t="s">
        <v>1483</v>
      </c>
      <c r="I75" s="3" t="str">
        <f t="shared" si="8"/>
        <v/>
      </c>
      <c r="J75" s="5" t="s">
        <v>1482</v>
      </c>
      <c r="K75" s="2" t="str">
        <f t="shared" si="9"/>
        <v/>
      </c>
    </row>
    <row r="76" spans="1:11" x14ac:dyDescent="0.25">
      <c r="A76" s="2" t="s">
        <v>148</v>
      </c>
      <c r="B76" s="2" t="s">
        <v>149</v>
      </c>
      <c r="D76" s="4" t="s">
        <v>1484</v>
      </c>
      <c r="E76" s="3" t="str">
        <f t="shared" si="6"/>
        <v xml:space="preserve">KC_DELETE                                    </v>
      </c>
      <c r="F76" s="3" t="s">
        <v>1472</v>
      </c>
      <c r="G76" s="3" t="str">
        <f t="shared" si="7"/>
        <v>0x004C</v>
      </c>
      <c r="H76" s="3" t="s">
        <v>1483</v>
      </c>
      <c r="I76" s="3" t="str">
        <f t="shared" si="8"/>
        <v/>
      </c>
      <c r="J76" s="5" t="s">
        <v>1482</v>
      </c>
      <c r="K76" s="2" t="str">
        <f t="shared" si="9"/>
        <v/>
      </c>
    </row>
    <row r="77" spans="1:11" x14ac:dyDescent="0.25">
      <c r="A77" s="2" t="s">
        <v>150</v>
      </c>
      <c r="B77" s="2" t="s">
        <v>151</v>
      </c>
      <c r="D77" s="4" t="s">
        <v>1484</v>
      </c>
      <c r="E77" s="3" t="str">
        <f t="shared" si="6"/>
        <v xml:space="preserve">KC_END                                       </v>
      </c>
      <c r="F77" s="3" t="s">
        <v>1472</v>
      </c>
      <c r="G77" s="3" t="str">
        <f t="shared" si="7"/>
        <v>0x004D</v>
      </c>
      <c r="H77" s="3" t="s">
        <v>1483</v>
      </c>
      <c r="I77" s="3" t="str">
        <f t="shared" si="8"/>
        <v/>
      </c>
      <c r="J77" s="5" t="s">
        <v>1482</v>
      </c>
      <c r="K77" s="2" t="str">
        <f t="shared" si="9"/>
        <v/>
      </c>
    </row>
    <row r="78" spans="1:11" x14ac:dyDescent="0.25">
      <c r="A78" s="2" t="s">
        <v>152</v>
      </c>
      <c r="B78" s="2" t="s">
        <v>153</v>
      </c>
      <c r="D78" s="4" t="s">
        <v>1484</v>
      </c>
      <c r="E78" s="3" t="str">
        <f t="shared" si="6"/>
        <v xml:space="preserve">KC_PAGE_DOWN                                 </v>
      </c>
      <c r="F78" s="3" t="s">
        <v>1472</v>
      </c>
      <c r="G78" s="3" t="str">
        <f t="shared" si="7"/>
        <v>0x004E</v>
      </c>
      <c r="H78" s="3" t="s">
        <v>1483</v>
      </c>
      <c r="I78" s="3" t="str">
        <f t="shared" si="8"/>
        <v/>
      </c>
      <c r="J78" s="5" t="s">
        <v>1482</v>
      </c>
      <c r="K78" s="2" t="str">
        <f t="shared" si="9"/>
        <v/>
      </c>
    </row>
    <row r="79" spans="1:11" x14ac:dyDescent="0.25">
      <c r="A79" s="2" t="s">
        <v>154</v>
      </c>
      <c r="B79" s="2" t="s">
        <v>155</v>
      </c>
      <c r="D79" s="4" t="s">
        <v>1484</v>
      </c>
      <c r="E79" s="3" t="str">
        <f t="shared" si="6"/>
        <v xml:space="preserve">KC_RIGHT                                     </v>
      </c>
      <c r="F79" s="3" t="s">
        <v>1472</v>
      </c>
      <c r="G79" s="3" t="str">
        <f t="shared" si="7"/>
        <v>0x004F</v>
      </c>
      <c r="H79" s="3" t="s">
        <v>1483</v>
      </c>
      <c r="I79" s="3" t="str">
        <f t="shared" si="8"/>
        <v/>
      </c>
      <c r="J79" s="5" t="s">
        <v>1482</v>
      </c>
      <c r="K79" s="2" t="str">
        <f t="shared" si="9"/>
        <v/>
      </c>
    </row>
    <row r="80" spans="1:11" x14ac:dyDescent="0.25">
      <c r="A80" s="2" t="s">
        <v>156</v>
      </c>
      <c r="B80" s="2" t="s">
        <v>157</v>
      </c>
      <c r="D80" s="4" t="s">
        <v>1484</v>
      </c>
      <c r="E80" s="3" t="str">
        <f t="shared" si="6"/>
        <v xml:space="preserve">KC_LEFT                                      </v>
      </c>
      <c r="F80" s="3" t="s">
        <v>1472</v>
      </c>
      <c r="G80" s="3" t="str">
        <f t="shared" si="7"/>
        <v>0x0050</v>
      </c>
      <c r="H80" s="3" t="s">
        <v>1483</v>
      </c>
      <c r="I80" s="3" t="str">
        <f t="shared" si="8"/>
        <v/>
      </c>
      <c r="J80" s="5" t="s">
        <v>1482</v>
      </c>
      <c r="K80" s="2" t="str">
        <f t="shared" si="9"/>
        <v/>
      </c>
    </row>
    <row r="81" spans="1:11" x14ac:dyDescent="0.25">
      <c r="A81" s="2" t="s">
        <v>158</v>
      </c>
      <c r="B81" s="2" t="s">
        <v>159</v>
      </c>
      <c r="D81" s="4" t="s">
        <v>1484</v>
      </c>
      <c r="E81" s="3" t="str">
        <f t="shared" si="6"/>
        <v xml:space="preserve">KC_DOWN                                      </v>
      </c>
      <c r="F81" s="3" t="s">
        <v>1472</v>
      </c>
      <c r="G81" s="3" t="str">
        <f t="shared" si="7"/>
        <v>0x0051</v>
      </c>
      <c r="H81" s="3" t="s">
        <v>1483</v>
      </c>
      <c r="I81" s="3" t="str">
        <f t="shared" si="8"/>
        <v/>
      </c>
      <c r="J81" s="5" t="s">
        <v>1482</v>
      </c>
      <c r="K81" s="2" t="str">
        <f t="shared" si="9"/>
        <v/>
      </c>
    </row>
    <row r="82" spans="1:11" x14ac:dyDescent="0.25">
      <c r="A82" s="2" t="s">
        <v>160</v>
      </c>
      <c r="B82" s="2" t="s">
        <v>161</v>
      </c>
      <c r="D82" s="4" t="s">
        <v>1484</v>
      </c>
      <c r="E82" s="3" t="str">
        <f t="shared" si="6"/>
        <v xml:space="preserve">KC_UP                                        </v>
      </c>
      <c r="F82" s="3" t="s">
        <v>1472</v>
      </c>
      <c r="G82" s="3" t="str">
        <f t="shared" si="7"/>
        <v>0x0052</v>
      </c>
      <c r="H82" s="3" t="s">
        <v>1483</v>
      </c>
      <c r="I82" s="3" t="str">
        <f t="shared" si="8"/>
        <v/>
      </c>
      <c r="J82" s="5" t="s">
        <v>1482</v>
      </c>
      <c r="K82" s="2" t="str">
        <f t="shared" si="9"/>
        <v/>
      </c>
    </row>
    <row r="83" spans="1:11" x14ac:dyDescent="0.25">
      <c r="A83" s="2" t="s">
        <v>162</v>
      </c>
      <c r="B83" s="2" t="s">
        <v>163</v>
      </c>
      <c r="C83" s="3" t="s">
        <v>1588</v>
      </c>
      <c r="D83" s="4" t="s">
        <v>1484</v>
      </c>
      <c r="E83" s="3" t="str">
        <f t="shared" si="6"/>
        <v xml:space="preserve">KC_NUM_LOCK                                  </v>
      </c>
      <c r="F83" s="3" t="s">
        <v>1472</v>
      </c>
      <c r="G83" s="3" t="str">
        <f t="shared" si="7"/>
        <v>0x0053</v>
      </c>
      <c r="H83" s="3" t="s">
        <v>1483</v>
      </c>
      <c r="I83" s="3" t="str">
        <f t="shared" si="8"/>
        <v>Num</v>
      </c>
      <c r="J83" s="5" t="s">
        <v>1482</v>
      </c>
      <c r="K83" s="2" t="str">
        <f t="shared" si="9"/>
        <v xml:space="preserve">    X (  KC_NUM_LOCK                                  , 0x0053,    "Num"     ) \</v>
      </c>
    </row>
    <row r="84" spans="1:11" x14ac:dyDescent="0.25">
      <c r="A84" s="2" t="s">
        <v>164</v>
      </c>
      <c r="B84" s="2" t="s">
        <v>165</v>
      </c>
      <c r="C84" s="3" t="s">
        <v>1589</v>
      </c>
      <c r="D84" s="4" t="s">
        <v>1484</v>
      </c>
      <c r="E84" s="3" t="str">
        <f t="shared" si="6"/>
        <v xml:space="preserve">KC_KP_SLASH                                  </v>
      </c>
      <c r="F84" s="3" t="s">
        <v>1472</v>
      </c>
      <c r="G84" s="3" t="str">
        <f t="shared" si="7"/>
        <v>0x0054</v>
      </c>
      <c r="H84" s="3" t="s">
        <v>1483</v>
      </c>
      <c r="I84" s="3" t="str">
        <f t="shared" si="8"/>
        <v>/</v>
      </c>
      <c r="J84" s="5" t="s">
        <v>1482</v>
      </c>
      <c r="K84" s="2" t="str">
        <f t="shared" si="9"/>
        <v xml:space="preserve">    X (  KC_KP_SLASH                                  , 0x0054,    "/"     ) \</v>
      </c>
    </row>
    <row r="85" spans="1:11" x14ac:dyDescent="0.25">
      <c r="A85" s="2" t="s">
        <v>166</v>
      </c>
      <c r="B85" s="2" t="s">
        <v>167</v>
      </c>
      <c r="C85" s="3" t="s">
        <v>1590</v>
      </c>
      <c r="D85" s="4" t="s">
        <v>1484</v>
      </c>
      <c r="E85" s="3" t="str">
        <f t="shared" si="6"/>
        <v xml:space="preserve">KC_KP_ASTERISK                               </v>
      </c>
      <c r="F85" s="3" t="s">
        <v>1472</v>
      </c>
      <c r="G85" s="3" t="str">
        <f t="shared" si="7"/>
        <v>0x0055</v>
      </c>
      <c r="H85" s="3" t="s">
        <v>1483</v>
      </c>
      <c r="I85" s="3" t="str">
        <f t="shared" si="8"/>
        <v>*</v>
      </c>
      <c r="J85" s="5" t="s">
        <v>1482</v>
      </c>
      <c r="K85" s="2" t="str">
        <f t="shared" si="9"/>
        <v xml:space="preserve">    X (  KC_KP_ASTERISK                               , 0x0055,    "*"     ) \</v>
      </c>
    </row>
    <row r="86" spans="1:11" x14ac:dyDescent="0.25">
      <c r="A86" s="2" t="s">
        <v>168</v>
      </c>
      <c r="B86" s="2" t="s">
        <v>169</v>
      </c>
      <c r="C86" s="6" t="s">
        <v>1478</v>
      </c>
      <c r="D86" s="4" t="s">
        <v>1484</v>
      </c>
      <c r="E86" s="3" t="str">
        <f t="shared" si="6"/>
        <v xml:space="preserve">KC_KP_MINUS                                  </v>
      </c>
      <c r="F86" s="3" t="s">
        <v>1472</v>
      </c>
      <c r="G86" s="3" t="str">
        <f t="shared" si="7"/>
        <v>0x0056</v>
      </c>
      <c r="H86" s="3" t="s">
        <v>1483</v>
      </c>
      <c r="I86" s="3" t="str">
        <f t="shared" si="8"/>
        <v>-</v>
      </c>
      <c r="J86" s="5" t="s">
        <v>1482</v>
      </c>
      <c r="K86" s="2" t="str">
        <f t="shared" si="9"/>
        <v xml:space="preserve">    X (  KC_KP_MINUS                                  , 0x0056,    "-"     ) \</v>
      </c>
    </row>
    <row r="87" spans="1:11" x14ac:dyDescent="0.25">
      <c r="A87" s="2" t="s">
        <v>170</v>
      </c>
      <c r="B87" s="2" t="s">
        <v>171</v>
      </c>
      <c r="C87" s="6" t="s">
        <v>1587</v>
      </c>
      <c r="D87" s="4" t="s">
        <v>1484</v>
      </c>
      <c r="E87" s="3" t="str">
        <f t="shared" si="6"/>
        <v xml:space="preserve">KC_KP_PLUS                                   </v>
      </c>
      <c r="F87" s="3" t="s">
        <v>1472</v>
      </c>
      <c r="G87" s="3" t="str">
        <f t="shared" si="7"/>
        <v>0x0057</v>
      </c>
      <c r="H87" s="3" t="s">
        <v>1483</v>
      </c>
      <c r="I87" s="3" t="str">
        <f t="shared" si="8"/>
        <v>+</v>
      </c>
      <c r="J87" s="5" t="s">
        <v>1482</v>
      </c>
      <c r="K87" s="2" t="str">
        <f t="shared" si="9"/>
        <v xml:space="preserve">    X (  KC_KP_PLUS                                   , 0x0057,    "+"     ) \</v>
      </c>
    </row>
    <row r="88" spans="1:11" x14ac:dyDescent="0.25">
      <c r="A88" s="2" t="s">
        <v>172</v>
      </c>
      <c r="B88" s="2" t="s">
        <v>173</v>
      </c>
      <c r="C88" s="6" t="s">
        <v>1479</v>
      </c>
      <c r="D88" s="4" t="s">
        <v>1484</v>
      </c>
      <c r="E88" s="3" t="str">
        <f t="shared" si="6"/>
        <v xml:space="preserve">KC_KP_ENTER                                  </v>
      </c>
      <c r="F88" s="3" t="s">
        <v>1472</v>
      </c>
      <c r="G88" s="3" t="str">
        <f t="shared" si="7"/>
        <v>0x0058</v>
      </c>
      <c r="H88" s="3" t="s">
        <v>1483</v>
      </c>
      <c r="I88" s="3" t="str">
        <f t="shared" si="8"/>
        <v>=</v>
      </c>
      <c r="J88" s="5" t="s">
        <v>1482</v>
      </c>
      <c r="K88" s="2" t="str">
        <f t="shared" si="9"/>
        <v xml:space="preserve">    X (  KC_KP_ENTER                                  , 0x0058,    "="     ) \</v>
      </c>
    </row>
    <row r="89" spans="1:11" x14ac:dyDescent="0.25">
      <c r="A89" s="2" t="s">
        <v>174</v>
      </c>
      <c r="B89" s="2" t="s">
        <v>175</v>
      </c>
      <c r="C89" s="3">
        <v>1</v>
      </c>
      <c r="D89" s="4" t="s">
        <v>1484</v>
      </c>
      <c r="E89" s="3" t="str">
        <f t="shared" si="6"/>
        <v xml:space="preserve">KC_KP_1                                      </v>
      </c>
      <c r="F89" s="3" t="s">
        <v>1472</v>
      </c>
      <c r="G89" s="3" t="str">
        <f t="shared" si="7"/>
        <v>0x0059</v>
      </c>
      <c r="H89" s="3" t="s">
        <v>1483</v>
      </c>
      <c r="I89" s="3">
        <f t="shared" si="8"/>
        <v>1</v>
      </c>
      <c r="J89" s="5" t="s">
        <v>1482</v>
      </c>
      <c r="K89" s="2" t="str">
        <f t="shared" si="9"/>
        <v xml:space="preserve">    X (  KC_KP_1                                      , 0x0059,    "1"     ) \</v>
      </c>
    </row>
    <row r="90" spans="1:11" x14ac:dyDescent="0.25">
      <c r="A90" s="2" t="s">
        <v>176</v>
      </c>
      <c r="B90" s="2" t="s">
        <v>177</v>
      </c>
      <c r="C90" s="3">
        <v>2</v>
      </c>
      <c r="D90" s="4" t="s">
        <v>1484</v>
      </c>
      <c r="E90" s="3" t="str">
        <f t="shared" si="6"/>
        <v xml:space="preserve">KC_KP_2                                      </v>
      </c>
      <c r="F90" s="3" t="s">
        <v>1472</v>
      </c>
      <c r="G90" s="3" t="str">
        <f t="shared" si="7"/>
        <v>0x005A</v>
      </c>
      <c r="H90" s="3" t="s">
        <v>1483</v>
      </c>
      <c r="I90" s="3">
        <f t="shared" si="8"/>
        <v>2</v>
      </c>
      <c r="J90" s="5" t="s">
        <v>1482</v>
      </c>
      <c r="K90" s="2" t="str">
        <f t="shared" si="9"/>
        <v xml:space="preserve">    X (  KC_KP_2                                      , 0x005A,    "2"     ) \</v>
      </c>
    </row>
    <row r="91" spans="1:11" x14ac:dyDescent="0.25">
      <c r="A91" s="2" t="s">
        <v>178</v>
      </c>
      <c r="B91" s="2" t="s">
        <v>179</v>
      </c>
      <c r="C91" s="3">
        <v>3</v>
      </c>
      <c r="D91" s="4" t="s">
        <v>1484</v>
      </c>
      <c r="E91" s="3" t="str">
        <f t="shared" si="6"/>
        <v xml:space="preserve">KC_KP_3                                      </v>
      </c>
      <c r="F91" s="3" t="s">
        <v>1472</v>
      </c>
      <c r="G91" s="3" t="str">
        <f t="shared" si="7"/>
        <v>0x005B</v>
      </c>
      <c r="H91" s="3" t="s">
        <v>1483</v>
      </c>
      <c r="I91" s="3">
        <f t="shared" si="8"/>
        <v>3</v>
      </c>
      <c r="J91" s="5" t="s">
        <v>1482</v>
      </c>
      <c r="K91" s="2" t="str">
        <f t="shared" si="9"/>
        <v xml:space="preserve">    X (  KC_KP_3                                      , 0x005B,    "3"     ) \</v>
      </c>
    </row>
    <row r="92" spans="1:11" x14ac:dyDescent="0.25">
      <c r="A92" s="2" t="s">
        <v>180</v>
      </c>
      <c r="B92" s="2" t="s">
        <v>181</v>
      </c>
      <c r="C92" s="3">
        <v>4</v>
      </c>
      <c r="D92" s="4" t="s">
        <v>1484</v>
      </c>
      <c r="E92" s="3" t="str">
        <f t="shared" si="6"/>
        <v xml:space="preserve">KC_KP_4                                      </v>
      </c>
      <c r="F92" s="3" t="s">
        <v>1472</v>
      </c>
      <c r="G92" s="3" t="str">
        <f t="shared" si="7"/>
        <v>0x005C</v>
      </c>
      <c r="H92" s="3" t="s">
        <v>1483</v>
      </c>
      <c r="I92" s="3">
        <f t="shared" si="8"/>
        <v>4</v>
      </c>
      <c r="J92" s="5" t="s">
        <v>1482</v>
      </c>
      <c r="K92" s="2" t="str">
        <f t="shared" si="9"/>
        <v xml:space="preserve">    X (  KC_KP_4                                      , 0x005C,    "4"     ) \</v>
      </c>
    </row>
    <row r="93" spans="1:11" x14ac:dyDescent="0.25">
      <c r="A93" s="2" t="s">
        <v>182</v>
      </c>
      <c r="B93" s="2" t="s">
        <v>183</v>
      </c>
      <c r="C93" s="3">
        <v>5</v>
      </c>
      <c r="D93" s="4" t="s">
        <v>1484</v>
      </c>
      <c r="E93" s="3" t="str">
        <f t="shared" si="6"/>
        <v xml:space="preserve">KC_KP_5                                      </v>
      </c>
      <c r="F93" s="3" t="s">
        <v>1472</v>
      </c>
      <c r="G93" s="3" t="str">
        <f t="shared" si="7"/>
        <v>0x005D</v>
      </c>
      <c r="H93" s="3" t="s">
        <v>1483</v>
      </c>
      <c r="I93" s="3">
        <f t="shared" si="8"/>
        <v>5</v>
      </c>
      <c r="J93" s="5" t="s">
        <v>1482</v>
      </c>
      <c r="K93" s="2" t="str">
        <f t="shared" si="9"/>
        <v xml:space="preserve">    X (  KC_KP_5                                      , 0x005D,    "5"     ) \</v>
      </c>
    </row>
    <row r="94" spans="1:11" x14ac:dyDescent="0.25">
      <c r="A94" s="2" t="s">
        <v>184</v>
      </c>
      <c r="B94" s="2" t="s">
        <v>185</v>
      </c>
      <c r="C94" s="3">
        <v>6</v>
      </c>
      <c r="D94" s="4" t="s">
        <v>1484</v>
      </c>
      <c r="E94" s="3" t="str">
        <f t="shared" si="6"/>
        <v xml:space="preserve">KC_KP_6                                      </v>
      </c>
      <c r="F94" s="3" t="s">
        <v>1472</v>
      </c>
      <c r="G94" s="3" t="str">
        <f t="shared" si="7"/>
        <v>0x005E</v>
      </c>
      <c r="H94" s="3" t="s">
        <v>1483</v>
      </c>
      <c r="I94" s="3">
        <f t="shared" si="8"/>
        <v>6</v>
      </c>
      <c r="J94" s="5" t="s">
        <v>1482</v>
      </c>
      <c r="K94" s="2" t="str">
        <f t="shared" si="9"/>
        <v xml:space="preserve">    X (  KC_KP_6                                      , 0x005E,    "6"     ) \</v>
      </c>
    </row>
    <row r="95" spans="1:11" x14ac:dyDescent="0.25">
      <c r="A95" s="2" t="s">
        <v>186</v>
      </c>
      <c r="B95" s="2" t="s">
        <v>187</v>
      </c>
      <c r="C95" s="3">
        <v>7</v>
      </c>
      <c r="D95" s="4" t="s">
        <v>1484</v>
      </c>
      <c r="E95" s="3" t="str">
        <f t="shared" si="6"/>
        <v xml:space="preserve">KC_KP_7                                      </v>
      </c>
      <c r="F95" s="3" t="s">
        <v>1472</v>
      </c>
      <c r="G95" s="3" t="str">
        <f t="shared" si="7"/>
        <v>0x005F</v>
      </c>
      <c r="H95" s="3" t="s">
        <v>1483</v>
      </c>
      <c r="I95" s="3">
        <f t="shared" si="8"/>
        <v>7</v>
      </c>
      <c r="J95" s="5" t="s">
        <v>1482</v>
      </c>
      <c r="K95" s="2" t="str">
        <f t="shared" si="9"/>
        <v xml:space="preserve">    X (  KC_KP_7                                      , 0x005F,    "7"     ) \</v>
      </c>
    </row>
    <row r="96" spans="1:11" x14ac:dyDescent="0.25">
      <c r="A96" s="2" t="s">
        <v>188</v>
      </c>
      <c r="B96" s="2" t="s">
        <v>189</v>
      </c>
      <c r="C96" s="3">
        <v>8</v>
      </c>
      <c r="D96" s="4" t="s">
        <v>1484</v>
      </c>
      <c r="E96" s="3" t="str">
        <f t="shared" si="6"/>
        <v xml:space="preserve">KC_KP_8                                      </v>
      </c>
      <c r="F96" s="3" t="s">
        <v>1472</v>
      </c>
      <c r="G96" s="3" t="str">
        <f t="shared" si="7"/>
        <v>0x0060</v>
      </c>
      <c r="H96" s="3" t="s">
        <v>1483</v>
      </c>
      <c r="I96" s="3">
        <f t="shared" si="8"/>
        <v>8</v>
      </c>
      <c r="J96" s="5" t="s">
        <v>1482</v>
      </c>
      <c r="K96" s="2" t="str">
        <f t="shared" si="9"/>
        <v xml:space="preserve">    X (  KC_KP_8                                      , 0x0060,    "8"     ) \</v>
      </c>
    </row>
    <row r="97" spans="1:11" x14ac:dyDescent="0.25">
      <c r="A97" s="2" t="s">
        <v>190</v>
      </c>
      <c r="B97" s="2" t="s">
        <v>191</v>
      </c>
      <c r="C97" s="3">
        <v>9</v>
      </c>
      <c r="D97" s="4" t="s">
        <v>1484</v>
      </c>
      <c r="E97" s="3" t="str">
        <f t="shared" si="6"/>
        <v xml:space="preserve">KC_KP_9                                      </v>
      </c>
      <c r="F97" s="3" t="s">
        <v>1472</v>
      </c>
      <c r="G97" s="3" t="str">
        <f t="shared" si="7"/>
        <v>0x0061</v>
      </c>
      <c r="H97" s="3" t="s">
        <v>1483</v>
      </c>
      <c r="I97" s="3">
        <f t="shared" si="8"/>
        <v>9</v>
      </c>
      <c r="J97" s="5" t="s">
        <v>1482</v>
      </c>
      <c r="K97" s="2" t="str">
        <f t="shared" si="9"/>
        <v xml:space="preserve">    X (  KC_KP_9                                      , 0x0061,    "9"     ) \</v>
      </c>
    </row>
    <row r="98" spans="1:11" x14ac:dyDescent="0.25">
      <c r="A98" s="2" t="s">
        <v>192</v>
      </c>
      <c r="B98" s="2" t="s">
        <v>193</v>
      </c>
      <c r="C98" s="3">
        <v>0</v>
      </c>
      <c r="D98" s="4" t="s">
        <v>1484</v>
      </c>
      <c r="E98" s="3" t="str">
        <f t="shared" si="6"/>
        <v xml:space="preserve">KC_KP_0                                      </v>
      </c>
      <c r="F98" s="3" t="s">
        <v>1472</v>
      </c>
      <c r="G98" s="3" t="str">
        <f t="shared" si="7"/>
        <v>0x0062</v>
      </c>
      <c r="H98" s="3" t="s">
        <v>1483</v>
      </c>
      <c r="I98" s="3">
        <f t="shared" si="8"/>
        <v>0</v>
      </c>
      <c r="J98" s="5" t="s">
        <v>1482</v>
      </c>
      <c r="K98" s="2" t="str">
        <f t="shared" si="9"/>
        <v xml:space="preserve">    X (  KC_KP_0                                      , 0x0062,    "0"     ) \</v>
      </c>
    </row>
    <row r="99" spans="1:11" x14ac:dyDescent="0.25">
      <c r="A99" s="2" t="s">
        <v>194</v>
      </c>
      <c r="B99" s="2" t="s">
        <v>195</v>
      </c>
      <c r="C99" s="3" t="s">
        <v>1586</v>
      </c>
      <c r="D99" s="4" t="s">
        <v>1484</v>
      </c>
      <c r="E99" s="3" t="str">
        <f t="shared" si="6"/>
        <v xml:space="preserve">KC_KP_DOT                                    </v>
      </c>
      <c r="F99" s="3" t="s">
        <v>1472</v>
      </c>
      <c r="G99" s="3" t="str">
        <f t="shared" si="7"/>
        <v>0x0063</v>
      </c>
      <c r="H99" s="3" t="s">
        <v>1483</v>
      </c>
      <c r="I99" s="3" t="str">
        <f t="shared" si="8"/>
        <v>.</v>
      </c>
      <c r="J99" s="5" t="s">
        <v>1482</v>
      </c>
      <c r="K99" s="2" t="str">
        <f t="shared" si="9"/>
        <v xml:space="preserve">    X (  KC_KP_DOT                                    , 0x0063,    "."     ) \</v>
      </c>
    </row>
    <row r="100" spans="1:11" x14ac:dyDescent="0.25">
      <c r="A100" s="2" t="s">
        <v>196</v>
      </c>
      <c r="B100" s="2" t="s">
        <v>197</v>
      </c>
      <c r="D100" s="4" t="s">
        <v>1484</v>
      </c>
      <c r="E100" s="3" t="str">
        <f t="shared" si="6"/>
        <v xml:space="preserve">KC_NONUS_BACKSLASH                           </v>
      </c>
      <c r="F100" s="3" t="s">
        <v>1472</v>
      </c>
      <c r="G100" s="3" t="str">
        <f t="shared" si="7"/>
        <v>0x0064</v>
      </c>
      <c r="H100" s="3" t="s">
        <v>1483</v>
      </c>
      <c r="I100" s="3" t="str">
        <f t="shared" si="8"/>
        <v/>
      </c>
      <c r="J100" s="5" t="s">
        <v>1482</v>
      </c>
      <c r="K100" s="2" t="str">
        <f t="shared" si="9"/>
        <v/>
      </c>
    </row>
    <row r="101" spans="1:11" x14ac:dyDescent="0.25">
      <c r="A101" s="2" t="s">
        <v>198</v>
      </c>
      <c r="B101" s="2" t="s">
        <v>199</v>
      </c>
      <c r="D101" s="4" t="s">
        <v>1484</v>
      </c>
      <c r="E101" s="3" t="str">
        <f t="shared" si="6"/>
        <v xml:space="preserve">KC_APPLICATION                               </v>
      </c>
      <c r="F101" s="3" t="s">
        <v>1472</v>
      </c>
      <c r="G101" s="3" t="str">
        <f t="shared" si="7"/>
        <v>0x0065</v>
      </c>
      <c r="H101" s="3" t="s">
        <v>1483</v>
      </c>
      <c r="I101" s="3" t="str">
        <f t="shared" si="8"/>
        <v/>
      </c>
      <c r="J101" s="5" t="s">
        <v>1482</v>
      </c>
      <c r="K101" s="2" t="str">
        <f t="shared" si="9"/>
        <v/>
      </c>
    </row>
    <row r="102" spans="1:11" x14ac:dyDescent="0.25">
      <c r="A102" s="2" t="s">
        <v>200</v>
      </c>
      <c r="B102" s="2" t="s">
        <v>201</v>
      </c>
      <c r="D102" s="4" t="s">
        <v>1484</v>
      </c>
      <c r="E102" s="3" t="str">
        <f t="shared" si="6"/>
        <v xml:space="preserve">KC_KB_POWER                                  </v>
      </c>
      <c r="F102" s="3" t="s">
        <v>1472</v>
      </c>
      <c r="G102" s="3" t="str">
        <f t="shared" si="7"/>
        <v>0x0066</v>
      </c>
      <c r="H102" s="3" t="s">
        <v>1483</v>
      </c>
      <c r="I102" s="3" t="str">
        <f t="shared" si="8"/>
        <v/>
      </c>
      <c r="J102" s="5" t="s">
        <v>1482</v>
      </c>
      <c r="K102" s="2" t="str">
        <f t="shared" si="9"/>
        <v/>
      </c>
    </row>
    <row r="103" spans="1:11" x14ac:dyDescent="0.25">
      <c r="A103" s="2" t="s">
        <v>202</v>
      </c>
      <c r="B103" s="2" t="s">
        <v>203</v>
      </c>
      <c r="D103" s="4" t="s">
        <v>1484</v>
      </c>
      <c r="E103" s="3" t="str">
        <f t="shared" si="6"/>
        <v xml:space="preserve">KC_KP_EQUAL                                  </v>
      </c>
      <c r="F103" s="3" t="s">
        <v>1472</v>
      </c>
      <c r="G103" s="3" t="str">
        <f t="shared" si="7"/>
        <v>0x0067</v>
      </c>
      <c r="H103" s="3" t="s">
        <v>1483</v>
      </c>
      <c r="I103" s="3" t="str">
        <f t="shared" si="8"/>
        <v/>
      </c>
      <c r="J103" s="5" t="s">
        <v>1482</v>
      </c>
      <c r="K103" s="2" t="str">
        <f t="shared" si="9"/>
        <v/>
      </c>
    </row>
    <row r="104" spans="1:11" x14ac:dyDescent="0.25">
      <c r="A104" s="2" t="s">
        <v>204</v>
      </c>
      <c r="B104" s="2" t="s">
        <v>205</v>
      </c>
      <c r="C104" s="3" t="s">
        <v>1608</v>
      </c>
      <c r="D104" s="4" t="s">
        <v>1484</v>
      </c>
      <c r="E104" s="3" t="str">
        <f t="shared" si="6"/>
        <v xml:space="preserve">KC_F13                                       </v>
      </c>
      <c r="F104" s="3" t="s">
        <v>1472</v>
      </c>
      <c r="G104" s="3" t="str">
        <f t="shared" si="7"/>
        <v>0x0068</v>
      </c>
      <c r="H104" s="3" t="s">
        <v>1483</v>
      </c>
      <c r="I104" s="3" t="str">
        <f t="shared" si="8"/>
        <v>F13</v>
      </c>
      <c r="J104" s="5" t="s">
        <v>1482</v>
      </c>
      <c r="K104" s="2" t="str">
        <f t="shared" si="9"/>
        <v xml:space="preserve">    X (  KC_F13                                       , 0x0068,    "F13"     ) \</v>
      </c>
    </row>
    <row r="105" spans="1:11" x14ac:dyDescent="0.25">
      <c r="A105" s="2" t="s">
        <v>206</v>
      </c>
      <c r="B105" s="2" t="s">
        <v>207</v>
      </c>
      <c r="C105" s="3" t="s">
        <v>1609</v>
      </c>
      <c r="D105" s="4" t="s">
        <v>1484</v>
      </c>
      <c r="E105" s="3" t="str">
        <f t="shared" si="6"/>
        <v xml:space="preserve">KC_F14                                       </v>
      </c>
      <c r="F105" s="3" t="s">
        <v>1472</v>
      </c>
      <c r="G105" s="3" t="str">
        <f t="shared" si="7"/>
        <v>0x0069</v>
      </c>
      <c r="H105" s="3" t="s">
        <v>1483</v>
      </c>
      <c r="I105" s="3" t="str">
        <f t="shared" si="8"/>
        <v>F14</v>
      </c>
      <c r="J105" s="5" t="s">
        <v>1482</v>
      </c>
      <c r="K105" s="2" t="str">
        <f t="shared" si="9"/>
        <v xml:space="preserve">    X (  KC_F14                                       , 0x0069,    "F14"     ) \</v>
      </c>
    </row>
    <row r="106" spans="1:11" x14ac:dyDescent="0.25">
      <c r="A106" s="2" t="s">
        <v>208</v>
      </c>
      <c r="B106" s="2" t="s">
        <v>209</v>
      </c>
      <c r="C106" s="3" t="s">
        <v>1610</v>
      </c>
      <c r="D106" s="4" t="s">
        <v>1484</v>
      </c>
      <c r="E106" s="3" t="str">
        <f t="shared" si="6"/>
        <v xml:space="preserve">KC_F15                                       </v>
      </c>
      <c r="F106" s="3" t="s">
        <v>1472</v>
      </c>
      <c r="G106" s="3" t="str">
        <f t="shared" si="7"/>
        <v>0x006A</v>
      </c>
      <c r="H106" s="3" t="s">
        <v>1483</v>
      </c>
      <c r="I106" s="3" t="str">
        <f t="shared" si="8"/>
        <v>F15</v>
      </c>
      <c r="J106" s="5" t="s">
        <v>1482</v>
      </c>
      <c r="K106" s="2" t="str">
        <f t="shared" si="9"/>
        <v xml:space="preserve">    X (  KC_F15                                       , 0x006A,    "F15"     ) \</v>
      </c>
    </row>
    <row r="107" spans="1:11" x14ac:dyDescent="0.25">
      <c r="A107" s="2" t="s">
        <v>210</v>
      </c>
      <c r="B107" s="2" t="s">
        <v>211</v>
      </c>
      <c r="C107" s="3" t="s">
        <v>1611</v>
      </c>
      <c r="D107" s="4" t="s">
        <v>1484</v>
      </c>
      <c r="E107" s="3" t="str">
        <f t="shared" si="6"/>
        <v xml:space="preserve">KC_F16                                       </v>
      </c>
      <c r="F107" s="3" t="s">
        <v>1472</v>
      </c>
      <c r="G107" s="3" t="str">
        <f t="shared" si="7"/>
        <v>0x006B</v>
      </c>
      <c r="H107" s="3" t="s">
        <v>1483</v>
      </c>
      <c r="I107" s="3" t="str">
        <f t="shared" si="8"/>
        <v>F16</v>
      </c>
      <c r="J107" s="5" t="s">
        <v>1482</v>
      </c>
      <c r="K107" s="2" t="str">
        <f t="shared" si="9"/>
        <v xml:space="preserve">    X (  KC_F16                                       , 0x006B,    "F16"     ) \</v>
      </c>
    </row>
    <row r="108" spans="1:11" x14ac:dyDescent="0.25">
      <c r="A108" s="2" t="s">
        <v>212</v>
      </c>
      <c r="B108" s="2" t="s">
        <v>213</v>
      </c>
      <c r="C108" s="3" t="s">
        <v>1612</v>
      </c>
      <c r="D108" s="4" t="s">
        <v>1484</v>
      </c>
      <c r="E108" s="3" t="str">
        <f t="shared" si="6"/>
        <v xml:space="preserve">KC_F17                                       </v>
      </c>
      <c r="F108" s="3" t="s">
        <v>1472</v>
      </c>
      <c r="G108" s="3" t="str">
        <f t="shared" si="7"/>
        <v>0x006C</v>
      </c>
      <c r="H108" s="3" t="s">
        <v>1483</v>
      </c>
      <c r="I108" s="3" t="str">
        <f t="shared" si="8"/>
        <v>F17</v>
      </c>
      <c r="J108" s="5" t="s">
        <v>1482</v>
      </c>
      <c r="K108" s="2" t="str">
        <f t="shared" si="9"/>
        <v xml:space="preserve">    X (  KC_F17                                       , 0x006C,    "F17"     ) \</v>
      </c>
    </row>
    <row r="109" spans="1:11" x14ac:dyDescent="0.25">
      <c r="A109" s="2" t="s">
        <v>214</v>
      </c>
      <c r="B109" s="2" t="s">
        <v>215</v>
      </c>
      <c r="C109" s="3" t="s">
        <v>1613</v>
      </c>
      <c r="D109" s="4" t="s">
        <v>1484</v>
      </c>
      <c r="E109" s="3" t="str">
        <f t="shared" si="6"/>
        <v xml:space="preserve">KC_F18                                       </v>
      </c>
      <c r="F109" s="3" t="s">
        <v>1472</v>
      </c>
      <c r="G109" s="3" t="str">
        <f t="shared" si="7"/>
        <v>0x006D</v>
      </c>
      <c r="H109" s="3" t="s">
        <v>1483</v>
      </c>
      <c r="I109" s="3" t="str">
        <f t="shared" si="8"/>
        <v>F18</v>
      </c>
      <c r="J109" s="5" t="s">
        <v>1482</v>
      </c>
      <c r="K109" s="2" t="str">
        <f t="shared" si="9"/>
        <v xml:space="preserve">    X (  KC_F18                                       , 0x006D,    "F18"     ) \</v>
      </c>
    </row>
    <row r="110" spans="1:11" x14ac:dyDescent="0.25">
      <c r="A110" s="2" t="s">
        <v>216</v>
      </c>
      <c r="B110" s="2" t="s">
        <v>217</v>
      </c>
      <c r="C110" s="3" t="s">
        <v>1614</v>
      </c>
      <c r="D110" s="4" t="s">
        <v>1484</v>
      </c>
      <c r="E110" s="3" t="str">
        <f t="shared" si="6"/>
        <v xml:space="preserve">KC_F19                                       </v>
      </c>
      <c r="F110" s="3" t="s">
        <v>1472</v>
      </c>
      <c r="G110" s="3" t="str">
        <f t="shared" si="7"/>
        <v>0x006E</v>
      </c>
      <c r="H110" s="3" t="s">
        <v>1483</v>
      </c>
      <c r="I110" s="3" t="str">
        <f t="shared" si="8"/>
        <v>F19</v>
      </c>
      <c r="J110" s="5" t="s">
        <v>1482</v>
      </c>
      <c r="K110" s="2" t="str">
        <f t="shared" si="9"/>
        <v xml:space="preserve">    X (  KC_F19                                       , 0x006E,    "F19"     ) \</v>
      </c>
    </row>
    <row r="111" spans="1:11" x14ac:dyDescent="0.25">
      <c r="A111" s="2" t="s">
        <v>218</v>
      </c>
      <c r="B111" s="2" t="s">
        <v>219</v>
      </c>
      <c r="C111" s="3" t="s">
        <v>1615</v>
      </c>
      <c r="D111" s="4" t="s">
        <v>1484</v>
      </c>
      <c r="E111" s="3" t="str">
        <f t="shared" si="6"/>
        <v xml:space="preserve">KC_F20                                       </v>
      </c>
      <c r="F111" s="3" t="s">
        <v>1472</v>
      </c>
      <c r="G111" s="3" t="str">
        <f t="shared" si="7"/>
        <v>0x006F</v>
      </c>
      <c r="H111" s="3" t="s">
        <v>1483</v>
      </c>
      <c r="I111" s="3" t="str">
        <f t="shared" si="8"/>
        <v>F20</v>
      </c>
      <c r="J111" s="5" t="s">
        <v>1482</v>
      </c>
      <c r="K111" s="2" t="str">
        <f t="shared" si="9"/>
        <v xml:space="preserve">    X (  KC_F20                                       , 0x006F,    "F20"     ) \</v>
      </c>
    </row>
    <row r="112" spans="1:11" x14ac:dyDescent="0.25">
      <c r="A112" s="2" t="s">
        <v>220</v>
      </c>
      <c r="B112" s="2" t="s">
        <v>221</v>
      </c>
      <c r="C112" s="3" t="s">
        <v>1616</v>
      </c>
      <c r="D112" s="4" t="s">
        <v>1484</v>
      </c>
      <c r="E112" s="3" t="str">
        <f t="shared" si="6"/>
        <v xml:space="preserve">KC_F21                                       </v>
      </c>
      <c r="F112" s="3" t="s">
        <v>1472</v>
      </c>
      <c r="G112" s="3" t="str">
        <f t="shared" si="7"/>
        <v>0x0070</v>
      </c>
      <c r="H112" s="3" t="s">
        <v>1483</v>
      </c>
      <c r="I112" s="3" t="str">
        <f t="shared" si="8"/>
        <v>F21</v>
      </c>
      <c r="J112" s="5" t="s">
        <v>1482</v>
      </c>
      <c r="K112" s="2" t="str">
        <f t="shared" si="9"/>
        <v xml:space="preserve">    X (  KC_F21                                       , 0x0070,    "F21"     ) \</v>
      </c>
    </row>
    <row r="113" spans="1:11" x14ac:dyDescent="0.25">
      <c r="A113" s="2" t="s">
        <v>222</v>
      </c>
      <c r="B113" s="2" t="s">
        <v>223</v>
      </c>
      <c r="C113" s="3" t="s">
        <v>1617</v>
      </c>
      <c r="D113" s="4" t="s">
        <v>1484</v>
      </c>
      <c r="E113" s="3" t="str">
        <f t="shared" si="6"/>
        <v xml:space="preserve">KC_F22                                       </v>
      </c>
      <c r="F113" s="3" t="s">
        <v>1472</v>
      </c>
      <c r="G113" s="3" t="str">
        <f t="shared" si="7"/>
        <v>0x0071</v>
      </c>
      <c r="H113" s="3" t="s">
        <v>1483</v>
      </c>
      <c r="I113" s="3" t="str">
        <f t="shared" si="8"/>
        <v>F22</v>
      </c>
      <c r="J113" s="5" t="s">
        <v>1482</v>
      </c>
      <c r="K113" s="2" t="str">
        <f t="shared" si="9"/>
        <v xml:space="preserve">    X (  KC_F22                                       , 0x0071,    "F22"     ) \</v>
      </c>
    </row>
    <row r="114" spans="1:11" x14ac:dyDescent="0.25">
      <c r="A114" s="2" t="s">
        <v>224</v>
      </c>
      <c r="B114" s="2" t="s">
        <v>225</v>
      </c>
      <c r="C114" s="3" t="s">
        <v>1618</v>
      </c>
      <c r="D114" s="4" t="s">
        <v>1484</v>
      </c>
      <c r="E114" s="3" t="str">
        <f t="shared" si="6"/>
        <v xml:space="preserve">KC_F23                                       </v>
      </c>
      <c r="F114" s="3" t="s">
        <v>1472</v>
      </c>
      <c r="G114" s="3" t="str">
        <f t="shared" si="7"/>
        <v>0x0072</v>
      </c>
      <c r="H114" s="3" t="s">
        <v>1483</v>
      </c>
      <c r="I114" s="3" t="str">
        <f t="shared" si="8"/>
        <v>F23</v>
      </c>
      <c r="J114" s="5" t="s">
        <v>1482</v>
      </c>
      <c r="K114" s="2" t="str">
        <f t="shared" si="9"/>
        <v xml:space="preserve">    X (  KC_F23                                       , 0x0072,    "F23"     ) \</v>
      </c>
    </row>
    <row r="115" spans="1:11" x14ac:dyDescent="0.25">
      <c r="A115" s="2" t="s">
        <v>226</v>
      </c>
      <c r="B115" s="2" t="s">
        <v>227</v>
      </c>
      <c r="C115" s="3" t="s">
        <v>1619</v>
      </c>
      <c r="D115" s="4" t="s">
        <v>1484</v>
      </c>
      <c r="E115" s="3" t="str">
        <f t="shared" si="6"/>
        <v xml:space="preserve">KC_F24                                       </v>
      </c>
      <c r="F115" s="3" t="s">
        <v>1472</v>
      </c>
      <c r="G115" s="3" t="str">
        <f t="shared" si="7"/>
        <v>0x0073</v>
      </c>
      <c r="H115" s="3" t="s">
        <v>1483</v>
      </c>
      <c r="I115" s="3" t="str">
        <f t="shared" si="8"/>
        <v>F24</v>
      </c>
      <c r="J115" s="5" t="s">
        <v>1482</v>
      </c>
      <c r="K115" s="2" t="str">
        <f t="shared" si="9"/>
        <v xml:space="preserve">    X (  KC_F24                                       , 0x0073,    "F24"     ) \</v>
      </c>
    </row>
    <row r="116" spans="1:11" x14ac:dyDescent="0.25">
      <c r="A116" s="2" t="s">
        <v>228</v>
      </c>
      <c r="B116" s="2" t="s">
        <v>229</v>
      </c>
      <c r="D116" s="4" t="s">
        <v>1484</v>
      </c>
      <c r="E116" s="3" t="str">
        <f t="shared" si="6"/>
        <v xml:space="preserve">KC_EXECUTE                                   </v>
      </c>
      <c r="F116" s="3" t="s">
        <v>1472</v>
      </c>
      <c r="G116" s="3" t="str">
        <f t="shared" si="7"/>
        <v>0x0074</v>
      </c>
      <c r="H116" s="3" t="s">
        <v>1483</v>
      </c>
      <c r="I116" s="3" t="str">
        <f t="shared" si="8"/>
        <v/>
      </c>
      <c r="J116" s="5" t="s">
        <v>1482</v>
      </c>
      <c r="K116" s="2" t="str">
        <f t="shared" si="9"/>
        <v/>
      </c>
    </row>
    <row r="117" spans="1:11" x14ac:dyDescent="0.25">
      <c r="A117" s="2" t="s">
        <v>230</v>
      </c>
      <c r="B117" s="2" t="s">
        <v>231</v>
      </c>
      <c r="D117" s="4" t="s">
        <v>1484</v>
      </c>
      <c r="E117" s="3" t="str">
        <f t="shared" si="6"/>
        <v xml:space="preserve">KC_HELP                                      </v>
      </c>
      <c r="F117" s="3" t="s">
        <v>1472</v>
      </c>
      <c r="G117" s="3" t="str">
        <f t="shared" si="7"/>
        <v>0x0075</v>
      </c>
      <c r="H117" s="3" t="s">
        <v>1483</v>
      </c>
      <c r="I117" s="3" t="str">
        <f t="shared" si="8"/>
        <v/>
      </c>
      <c r="J117" s="5" t="s">
        <v>1482</v>
      </c>
      <c r="K117" s="2" t="str">
        <f t="shared" si="9"/>
        <v/>
      </c>
    </row>
    <row r="118" spans="1:11" x14ac:dyDescent="0.25">
      <c r="A118" s="2" t="s">
        <v>232</v>
      </c>
      <c r="B118" s="2" t="s">
        <v>233</v>
      </c>
      <c r="D118" s="4" t="s">
        <v>1484</v>
      </c>
      <c r="E118" s="3" t="str">
        <f t="shared" si="6"/>
        <v xml:space="preserve">KC_MENU                                      </v>
      </c>
      <c r="F118" s="3" t="s">
        <v>1472</v>
      </c>
      <c r="G118" s="3" t="str">
        <f t="shared" si="7"/>
        <v>0x0076</v>
      </c>
      <c r="H118" s="3" t="s">
        <v>1483</v>
      </c>
      <c r="I118" s="3" t="str">
        <f t="shared" si="8"/>
        <v/>
      </c>
      <c r="J118" s="5" t="s">
        <v>1482</v>
      </c>
      <c r="K118" s="2" t="str">
        <f t="shared" si="9"/>
        <v/>
      </c>
    </row>
    <row r="119" spans="1:11" x14ac:dyDescent="0.25">
      <c r="A119" s="2" t="s">
        <v>234</v>
      </c>
      <c r="B119" s="2" t="s">
        <v>235</v>
      </c>
      <c r="D119" s="4" t="s">
        <v>1484</v>
      </c>
      <c r="E119" s="3" t="str">
        <f t="shared" si="6"/>
        <v xml:space="preserve">KC_SELECT                                    </v>
      </c>
      <c r="F119" s="3" t="s">
        <v>1472</v>
      </c>
      <c r="G119" s="3" t="str">
        <f t="shared" si="7"/>
        <v>0x0077</v>
      </c>
      <c r="H119" s="3" t="s">
        <v>1483</v>
      </c>
      <c r="I119" s="3" t="str">
        <f t="shared" si="8"/>
        <v/>
      </c>
      <c r="J119" s="5" t="s">
        <v>1482</v>
      </c>
      <c r="K119" s="2" t="str">
        <f t="shared" si="9"/>
        <v/>
      </c>
    </row>
    <row r="120" spans="1:11" x14ac:dyDescent="0.25">
      <c r="A120" s="2" t="s">
        <v>236</v>
      </c>
      <c r="B120" s="2" t="s">
        <v>237</v>
      </c>
      <c r="D120" s="4" t="s">
        <v>1484</v>
      </c>
      <c r="E120" s="3" t="str">
        <f t="shared" si="6"/>
        <v xml:space="preserve">KC_STOP                                      </v>
      </c>
      <c r="F120" s="3" t="s">
        <v>1472</v>
      </c>
      <c r="G120" s="3" t="str">
        <f t="shared" si="7"/>
        <v>0x0078</v>
      </c>
      <c r="H120" s="3" t="s">
        <v>1483</v>
      </c>
      <c r="I120" s="3" t="str">
        <f t="shared" si="8"/>
        <v/>
      </c>
      <c r="J120" s="5" t="s">
        <v>1482</v>
      </c>
      <c r="K120" s="2" t="str">
        <f t="shared" si="9"/>
        <v/>
      </c>
    </row>
    <row r="121" spans="1:11" x14ac:dyDescent="0.25">
      <c r="A121" s="2" t="s">
        <v>238</v>
      </c>
      <c r="B121" s="2" t="s">
        <v>239</v>
      </c>
      <c r="D121" s="4" t="s">
        <v>1484</v>
      </c>
      <c r="E121" s="3" t="str">
        <f t="shared" si="6"/>
        <v xml:space="preserve">KC_AGAIN                                     </v>
      </c>
      <c r="F121" s="3" t="s">
        <v>1472</v>
      </c>
      <c r="G121" s="3" t="str">
        <f t="shared" si="7"/>
        <v>0x0079</v>
      </c>
      <c r="H121" s="3" t="s">
        <v>1483</v>
      </c>
      <c r="I121" s="3" t="str">
        <f t="shared" si="8"/>
        <v/>
      </c>
      <c r="J121" s="5" t="s">
        <v>1482</v>
      </c>
      <c r="K121" s="2" t="str">
        <f t="shared" si="9"/>
        <v/>
      </c>
    </row>
    <row r="122" spans="1:11" x14ac:dyDescent="0.25">
      <c r="A122" s="2" t="s">
        <v>240</v>
      </c>
      <c r="B122" s="2" t="s">
        <v>241</v>
      </c>
      <c r="D122" s="4" t="s">
        <v>1484</v>
      </c>
      <c r="E122" s="3" t="str">
        <f t="shared" si="6"/>
        <v xml:space="preserve">KC_UNDO                                      </v>
      </c>
      <c r="F122" s="3" t="s">
        <v>1472</v>
      </c>
      <c r="G122" s="3" t="str">
        <f t="shared" si="7"/>
        <v>0x007A</v>
      </c>
      <c r="H122" s="3" t="s">
        <v>1483</v>
      </c>
      <c r="I122" s="3" t="str">
        <f t="shared" si="8"/>
        <v/>
      </c>
      <c r="J122" s="5" t="s">
        <v>1482</v>
      </c>
      <c r="K122" s="2" t="str">
        <f t="shared" si="9"/>
        <v/>
      </c>
    </row>
    <row r="123" spans="1:11" x14ac:dyDescent="0.25">
      <c r="A123" s="2" t="s">
        <v>242</v>
      </c>
      <c r="B123" s="2" t="s">
        <v>243</v>
      </c>
      <c r="D123" s="4" t="s">
        <v>1484</v>
      </c>
      <c r="E123" s="3" t="str">
        <f t="shared" si="6"/>
        <v xml:space="preserve">KC_CUT                                       </v>
      </c>
      <c r="F123" s="3" t="s">
        <v>1472</v>
      </c>
      <c r="G123" s="3" t="str">
        <f t="shared" si="7"/>
        <v>0x007B</v>
      </c>
      <c r="H123" s="3" t="s">
        <v>1483</v>
      </c>
      <c r="I123" s="3" t="str">
        <f t="shared" si="8"/>
        <v/>
      </c>
      <c r="J123" s="5" t="s">
        <v>1482</v>
      </c>
      <c r="K123" s="2" t="str">
        <f t="shared" si="9"/>
        <v/>
      </c>
    </row>
    <row r="124" spans="1:11" x14ac:dyDescent="0.25">
      <c r="A124" s="2" t="s">
        <v>244</v>
      </c>
      <c r="B124" s="2" t="s">
        <v>245</v>
      </c>
      <c r="D124" s="4" t="s">
        <v>1484</v>
      </c>
      <c r="E124" s="3" t="str">
        <f t="shared" si="6"/>
        <v xml:space="preserve">KC_COPY                                      </v>
      </c>
      <c r="F124" s="3" t="s">
        <v>1472</v>
      </c>
      <c r="G124" s="3" t="str">
        <f t="shared" si="7"/>
        <v>0x007C</v>
      </c>
      <c r="H124" s="3" t="s">
        <v>1483</v>
      </c>
      <c r="I124" s="3" t="str">
        <f t="shared" si="8"/>
        <v/>
      </c>
      <c r="J124" s="5" t="s">
        <v>1482</v>
      </c>
      <c r="K124" s="2" t="str">
        <f t="shared" si="9"/>
        <v/>
      </c>
    </row>
    <row r="125" spans="1:11" x14ac:dyDescent="0.25">
      <c r="A125" s="2" t="s">
        <v>246</v>
      </c>
      <c r="B125" s="2" t="s">
        <v>247</v>
      </c>
      <c r="D125" s="4" t="s">
        <v>1484</v>
      </c>
      <c r="E125" s="3" t="str">
        <f t="shared" si="6"/>
        <v xml:space="preserve">KC_PASTE                                     </v>
      </c>
      <c r="F125" s="3" t="s">
        <v>1472</v>
      </c>
      <c r="G125" s="3" t="str">
        <f t="shared" si="7"/>
        <v>0x007D</v>
      </c>
      <c r="H125" s="3" t="s">
        <v>1483</v>
      </c>
      <c r="I125" s="3" t="str">
        <f t="shared" si="8"/>
        <v/>
      </c>
      <c r="J125" s="5" t="s">
        <v>1482</v>
      </c>
      <c r="K125" s="2" t="str">
        <f t="shared" si="9"/>
        <v/>
      </c>
    </row>
    <row r="126" spans="1:11" x14ac:dyDescent="0.25">
      <c r="A126" s="2" t="s">
        <v>248</v>
      </c>
      <c r="B126" s="2" t="s">
        <v>249</v>
      </c>
      <c r="D126" s="4" t="s">
        <v>1484</v>
      </c>
      <c r="E126" s="3" t="str">
        <f t="shared" si="6"/>
        <v xml:space="preserve">KC_FIND                                      </v>
      </c>
      <c r="F126" s="3" t="s">
        <v>1472</v>
      </c>
      <c r="G126" s="3" t="str">
        <f t="shared" si="7"/>
        <v>0x007E</v>
      </c>
      <c r="H126" s="3" t="s">
        <v>1483</v>
      </c>
      <c r="I126" s="3" t="str">
        <f t="shared" si="8"/>
        <v/>
      </c>
      <c r="J126" s="5" t="s">
        <v>1482</v>
      </c>
      <c r="K126" s="2" t="str">
        <f t="shared" si="9"/>
        <v/>
      </c>
    </row>
    <row r="127" spans="1:11" x14ac:dyDescent="0.25">
      <c r="A127" s="2" t="s">
        <v>250</v>
      </c>
      <c r="B127" s="2" t="s">
        <v>251</v>
      </c>
      <c r="D127" s="4" t="s">
        <v>1484</v>
      </c>
      <c r="E127" s="3" t="str">
        <f t="shared" si="6"/>
        <v xml:space="preserve">KC_KB_MUTE                                   </v>
      </c>
      <c r="F127" s="3" t="s">
        <v>1472</v>
      </c>
      <c r="G127" s="3" t="str">
        <f t="shared" si="7"/>
        <v>0x007F</v>
      </c>
      <c r="H127" s="3" t="s">
        <v>1483</v>
      </c>
      <c r="I127" s="3" t="str">
        <f t="shared" si="8"/>
        <v/>
      </c>
      <c r="J127" s="5" t="s">
        <v>1482</v>
      </c>
      <c r="K127" s="2" t="str">
        <f t="shared" si="9"/>
        <v/>
      </c>
    </row>
    <row r="128" spans="1:11" x14ac:dyDescent="0.25">
      <c r="A128" s="2" t="s">
        <v>252</v>
      </c>
      <c r="B128" s="2" t="s">
        <v>253</v>
      </c>
      <c r="D128" s="4" t="s">
        <v>1484</v>
      </c>
      <c r="E128" s="3" t="str">
        <f t="shared" si="6"/>
        <v xml:space="preserve">KC_KB_VOLUME_UP                              </v>
      </c>
      <c r="F128" s="3" t="s">
        <v>1472</v>
      </c>
      <c r="G128" s="3" t="str">
        <f t="shared" si="7"/>
        <v>0x0080</v>
      </c>
      <c r="H128" s="3" t="s">
        <v>1483</v>
      </c>
      <c r="I128" s="3" t="str">
        <f t="shared" si="8"/>
        <v/>
      </c>
      <c r="J128" s="5" t="s">
        <v>1482</v>
      </c>
      <c r="K128" s="2" t="str">
        <f t="shared" si="9"/>
        <v/>
      </c>
    </row>
    <row r="129" spans="1:11" x14ac:dyDescent="0.25">
      <c r="A129" s="2" t="s">
        <v>254</v>
      </c>
      <c r="B129" s="2" t="s">
        <v>255</v>
      </c>
      <c r="D129" s="4" t="s">
        <v>1484</v>
      </c>
      <c r="E129" s="3" t="str">
        <f t="shared" si="6"/>
        <v xml:space="preserve">KC_KB_VOLUME_DOWN                            </v>
      </c>
      <c r="F129" s="3" t="s">
        <v>1472</v>
      </c>
      <c r="G129" s="3" t="str">
        <f t="shared" si="7"/>
        <v>0x0081</v>
      </c>
      <c r="H129" s="3" t="s">
        <v>1483</v>
      </c>
      <c r="I129" s="3" t="str">
        <f t="shared" si="8"/>
        <v/>
      </c>
      <c r="J129" s="5" t="s">
        <v>1482</v>
      </c>
      <c r="K129" s="2" t="str">
        <f t="shared" si="9"/>
        <v/>
      </c>
    </row>
    <row r="130" spans="1:11" x14ac:dyDescent="0.25">
      <c r="A130" s="2" t="s">
        <v>256</v>
      </c>
      <c r="B130" s="2" t="s">
        <v>257</v>
      </c>
      <c r="D130" s="4" t="s">
        <v>1484</v>
      </c>
      <c r="E130" s="3" t="str">
        <f t="shared" si="6"/>
        <v xml:space="preserve">KC_LOCKING_CAPS_LOCK                         </v>
      </c>
      <c r="F130" s="3" t="s">
        <v>1472</v>
      </c>
      <c r="G130" s="3" t="str">
        <f t="shared" si="7"/>
        <v>0x0082</v>
      </c>
      <c r="H130" s="3" t="s">
        <v>1483</v>
      </c>
      <c r="I130" s="3" t="str">
        <f t="shared" si="8"/>
        <v/>
      </c>
      <c r="J130" s="5" t="s">
        <v>1482</v>
      </c>
      <c r="K130" s="2" t="str">
        <f t="shared" si="9"/>
        <v/>
      </c>
    </row>
    <row r="131" spans="1:11" x14ac:dyDescent="0.25">
      <c r="A131" s="2" t="s">
        <v>258</v>
      </c>
      <c r="B131" s="2" t="s">
        <v>259</v>
      </c>
      <c r="D131" s="4" t="s">
        <v>1484</v>
      </c>
      <c r="E131" s="3" t="str">
        <f t="shared" ref="E131:E194" si="10">LEFT(A131 &amp; REPT(" ",$E$1),$E$1)</f>
        <v xml:space="preserve">KC_LOCKING_NUM_LOCK                          </v>
      </c>
      <c r="F131" s="3" t="s">
        <v>1472</v>
      </c>
      <c r="G131" s="3" t="str">
        <f t="shared" ref="G131:G194" si="11">B131</f>
        <v>0x0083</v>
      </c>
      <c r="H131" s="3" t="s">
        <v>1483</v>
      </c>
      <c r="I131" s="3" t="str">
        <f t="shared" ref="I131:I194" si="12">IF(C131="","",C131)</f>
        <v/>
      </c>
      <c r="J131" s="5" t="s">
        <v>1482</v>
      </c>
      <c r="K131" s="2" t="str">
        <f t="shared" ref="K131:K194" si="13">IF(I131="","",_xlfn.CONCAT(D131:J131))</f>
        <v/>
      </c>
    </row>
    <row r="132" spans="1:11" x14ac:dyDescent="0.25">
      <c r="A132" s="2" t="s">
        <v>260</v>
      </c>
      <c r="B132" s="2" t="s">
        <v>261</v>
      </c>
      <c r="D132" s="4" t="s">
        <v>1484</v>
      </c>
      <c r="E132" s="3" t="str">
        <f t="shared" si="10"/>
        <v xml:space="preserve">KC_LOCKING_SCROLL_LOCK                       </v>
      </c>
      <c r="F132" s="3" t="s">
        <v>1472</v>
      </c>
      <c r="G132" s="3" t="str">
        <f t="shared" si="11"/>
        <v>0x0084</v>
      </c>
      <c r="H132" s="3" t="s">
        <v>1483</v>
      </c>
      <c r="I132" s="3" t="str">
        <f t="shared" si="12"/>
        <v/>
      </c>
      <c r="J132" s="5" t="s">
        <v>1482</v>
      </c>
      <c r="K132" s="2" t="str">
        <f t="shared" si="13"/>
        <v/>
      </c>
    </row>
    <row r="133" spans="1:11" x14ac:dyDescent="0.25">
      <c r="A133" s="2" t="s">
        <v>262</v>
      </c>
      <c r="B133" s="2" t="s">
        <v>263</v>
      </c>
      <c r="D133" s="4" t="s">
        <v>1484</v>
      </c>
      <c r="E133" s="3" t="str">
        <f t="shared" si="10"/>
        <v xml:space="preserve">KC_KP_COMMA                                  </v>
      </c>
      <c r="F133" s="3" t="s">
        <v>1472</v>
      </c>
      <c r="G133" s="3" t="str">
        <f t="shared" si="11"/>
        <v>0x0085</v>
      </c>
      <c r="H133" s="3" t="s">
        <v>1483</v>
      </c>
      <c r="I133" s="3" t="str">
        <f t="shared" si="12"/>
        <v/>
      </c>
      <c r="J133" s="5" t="s">
        <v>1482</v>
      </c>
      <c r="K133" s="2" t="str">
        <f t="shared" si="13"/>
        <v/>
      </c>
    </row>
    <row r="134" spans="1:11" x14ac:dyDescent="0.25">
      <c r="A134" s="2" t="s">
        <v>264</v>
      </c>
      <c r="B134" s="2" t="s">
        <v>265</v>
      </c>
      <c r="D134" s="4" t="s">
        <v>1484</v>
      </c>
      <c r="E134" s="3" t="str">
        <f t="shared" si="10"/>
        <v xml:space="preserve">KC_KP_EQUAL_AS400                            </v>
      </c>
      <c r="F134" s="3" t="s">
        <v>1472</v>
      </c>
      <c r="G134" s="3" t="str">
        <f t="shared" si="11"/>
        <v>0x0086</v>
      </c>
      <c r="H134" s="3" t="s">
        <v>1483</v>
      </c>
      <c r="I134" s="3" t="str">
        <f t="shared" si="12"/>
        <v/>
      </c>
      <c r="J134" s="5" t="s">
        <v>1482</v>
      </c>
      <c r="K134" s="2" t="str">
        <f t="shared" si="13"/>
        <v/>
      </c>
    </row>
    <row r="135" spans="1:11" x14ac:dyDescent="0.25">
      <c r="A135" s="2" t="s">
        <v>266</v>
      </c>
      <c r="B135" s="2" t="s">
        <v>267</v>
      </c>
      <c r="D135" s="4" t="s">
        <v>1484</v>
      </c>
      <c r="E135" s="3" t="str">
        <f t="shared" si="10"/>
        <v xml:space="preserve">KC_INTERNATIONAL_1                           </v>
      </c>
      <c r="F135" s="3" t="s">
        <v>1472</v>
      </c>
      <c r="G135" s="3" t="str">
        <f t="shared" si="11"/>
        <v>0x0087</v>
      </c>
      <c r="H135" s="3" t="s">
        <v>1483</v>
      </c>
      <c r="I135" s="3" t="str">
        <f t="shared" si="12"/>
        <v/>
      </c>
      <c r="J135" s="5" t="s">
        <v>1482</v>
      </c>
      <c r="K135" s="2" t="str">
        <f t="shared" si="13"/>
        <v/>
      </c>
    </row>
    <row r="136" spans="1:11" x14ac:dyDescent="0.25">
      <c r="A136" s="2" t="s">
        <v>268</v>
      </c>
      <c r="B136" s="2" t="s">
        <v>269</v>
      </c>
      <c r="D136" s="4" t="s">
        <v>1484</v>
      </c>
      <c r="E136" s="3" t="str">
        <f t="shared" si="10"/>
        <v xml:space="preserve">KC_INTERNATIONAL_2                           </v>
      </c>
      <c r="F136" s="3" t="s">
        <v>1472</v>
      </c>
      <c r="G136" s="3" t="str">
        <f t="shared" si="11"/>
        <v>0x0088</v>
      </c>
      <c r="H136" s="3" t="s">
        <v>1483</v>
      </c>
      <c r="I136" s="3" t="str">
        <f t="shared" si="12"/>
        <v/>
      </c>
      <c r="J136" s="5" t="s">
        <v>1482</v>
      </c>
      <c r="K136" s="2" t="str">
        <f t="shared" si="13"/>
        <v/>
      </c>
    </row>
    <row r="137" spans="1:11" x14ac:dyDescent="0.25">
      <c r="A137" s="2" t="s">
        <v>270</v>
      </c>
      <c r="B137" s="2" t="s">
        <v>271</v>
      </c>
      <c r="D137" s="4" t="s">
        <v>1484</v>
      </c>
      <c r="E137" s="3" t="str">
        <f t="shared" si="10"/>
        <v xml:space="preserve">KC_INTERNATIONAL_3                           </v>
      </c>
      <c r="F137" s="3" t="s">
        <v>1472</v>
      </c>
      <c r="G137" s="3" t="str">
        <f t="shared" si="11"/>
        <v>0x0089</v>
      </c>
      <c r="H137" s="3" t="s">
        <v>1483</v>
      </c>
      <c r="I137" s="3" t="str">
        <f t="shared" si="12"/>
        <v/>
      </c>
      <c r="J137" s="5" t="s">
        <v>1482</v>
      </c>
      <c r="K137" s="2" t="str">
        <f t="shared" si="13"/>
        <v/>
      </c>
    </row>
    <row r="138" spans="1:11" x14ac:dyDescent="0.25">
      <c r="A138" s="2" t="s">
        <v>272</v>
      </c>
      <c r="B138" s="2" t="s">
        <v>273</v>
      </c>
      <c r="D138" s="4" t="s">
        <v>1484</v>
      </c>
      <c r="E138" s="3" t="str">
        <f t="shared" si="10"/>
        <v xml:space="preserve">KC_INTERNATIONAL_4                           </v>
      </c>
      <c r="F138" s="3" t="s">
        <v>1472</v>
      </c>
      <c r="G138" s="3" t="str">
        <f t="shared" si="11"/>
        <v>0x008A</v>
      </c>
      <c r="H138" s="3" t="s">
        <v>1483</v>
      </c>
      <c r="I138" s="3" t="str">
        <f t="shared" si="12"/>
        <v/>
      </c>
      <c r="J138" s="5" t="s">
        <v>1482</v>
      </c>
      <c r="K138" s="2" t="str">
        <f t="shared" si="13"/>
        <v/>
      </c>
    </row>
    <row r="139" spans="1:11" x14ac:dyDescent="0.25">
      <c r="A139" s="2" t="s">
        <v>274</v>
      </c>
      <c r="B139" s="2" t="s">
        <v>275</v>
      </c>
      <c r="D139" s="4" t="s">
        <v>1484</v>
      </c>
      <c r="E139" s="3" t="str">
        <f t="shared" si="10"/>
        <v xml:space="preserve">KC_INTERNATIONAL_5                           </v>
      </c>
      <c r="F139" s="3" t="s">
        <v>1472</v>
      </c>
      <c r="G139" s="3" t="str">
        <f t="shared" si="11"/>
        <v>0x008B</v>
      </c>
      <c r="H139" s="3" t="s">
        <v>1483</v>
      </c>
      <c r="I139" s="3" t="str">
        <f t="shared" si="12"/>
        <v/>
      </c>
      <c r="J139" s="5" t="s">
        <v>1482</v>
      </c>
      <c r="K139" s="2" t="str">
        <f t="shared" si="13"/>
        <v/>
      </c>
    </row>
    <row r="140" spans="1:11" x14ac:dyDescent="0.25">
      <c r="A140" s="2" t="s">
        <v>276</v>
      </c>
      <c r="B140" s="2" t="s">
        <v>277</v>
      </c>
      <c r="D140" s="4" t="s">
        <v>1484</v>
      </c>
      <c r="E140" s="3" t="str">
        <f t="shared" si="10"/>
        <v xml:space="preserve">KC_INTERNATIONAL_6                           </v>
      </c>
      <c r="F140" s="3" t="s">
        <v>1472</v>
      </c>
      <c r="G140" s="3" t="str">
        <f t="shared" si="11"/>
        <v>0x008C</v>
      </c>
      <c r="H140" s="3" t="s">
        <v>1483</v>
      </c>
      <c r="I140" s="3" t="str">
        <f t="shared" si="12"/>
        <v/>
      </c>
      <c r="J140" s="5" t="s">
        <v>1482</v>
      </c>
      <c r="K140" s="2" t="str">
        <f t="shared" si="13"/>
        <v/>
      </c>
    </row>
    <row r="141" spans="1:11" x14ac:dyDescent="0.25">
      <c r="A141" s="2" t="s">
        <v>278</v>
      </c>
      <c r="B141" s="2" t="s">
        <v>279</v>
      </c>
      <c r="D141" s="4" t="s">
        <v>1484</v>
      </c>
      <c r="E141" s="3" t="str">
        <f t="shared" si="10"/>
        <v xml:space="preserve">KC_INTERNATIONAL_7                           </v>
      </c>
      <c r="F141" s="3" t="s">
        <v>1472</v>
      </c>
      <c r="G141" s="3" t="str">
        <f t="shared" si="11"/>
        <v>0x008D</v>
      </c>
      <c r="H141" s="3" t="s">
        <v>1483</v>
      </c>
      <c r="I141" s="3" t="str">
        <f t="shared" si="12"/>
        <v/>
      </c>
      <c r="J141" s="5" t="s">
        <v>1482</v>
      </c>
      <c r="K141" s="2" t="str">
        <f t="shared" si="13"/>
        <v/>
      </c>
    </row>
    <row r="142" spans="1:11" x14ac:dyDescent="0.25">
      <c r="A142" s="2" t="s">
        <v>280</v>
      </c>
      <c r="B142" s="2" t="s">
        <v>281</v>
      </c>
      <c r="D142" s="4" t="s">
        <v>1484</v>
      </c>
      <c r="E142" s="3" t="str">
        <f t="shared" si="10"/>
        <v xml:space="preserve">KC_INTERNATIONAL_8                           </v>
      </c>
      <c r="F142" s="3" t="s">
        <v>1472</v>
      </c>
      <c r="G142" s="3" t="str">
        <f t="shared" si="11"/>
        <v>0x008E</v>
      </c>
      <c r="H142" s="3" t="s">
        <v>1483</v>
      </c>
      <c r="I142" s="3" t="str">
        <f t="shared" si="12"/>
        <v/>
      </c>
      <c r="J142" s="5" t="s">
        <v>1482</v>
      </c>
      <c r="K142" s="2" t="str">
        <f t="shared" si="13"/>
        <v/>
      </c>
    </row>
    <row r="143" spans="1:11" x14ac:dyDescent="0.25">
      <c r="A143" s="2" t="s">
        <v>282</v>
      </c>
      <c r="B143" s="2" t="s">
        <v>283</v>
      </c>
      <c r="D143" s="4" t="s">
        <v>1484</v>
      </c>
      <c r="E143" s="3" t="str">
        <f t="shared" si="10"/>
        <v xml:space="preserve">KC_INTERNATIONAL_9                           </v>
      </c>
      <c r="F143" s="3" t="s">
        <v>1472</v>
      </c>
      <c r="G143" s="3" t="str">
        <f t="shared" si="11"/>
        <v>0x008F</v>
      </c>
      <c r="H143" s="3" t="s">
        <v>1483</v>
      </c>
      <c r="I143" s="3" t="str">
        <f t="shared" si="12"/>
        <v/>
      </c>
      <c r="J143" s="5" t="s">
        <v>1482</v>
      </c>
      <c r="K143" s="2" t="str">
        <f t="shared" si="13"/>
        <v/>
      </c>
    </row>
    <row r="144" spans="1:11" x14ac:dyDescent="0.25">
      <c r="A144" s="2" t="s">
        <v>284</v>
      </c>
      <c r="B144" s="2" t="s">
        <v>285</v>
      </c>
      <c r="D144" s="4" t="s">
        <v>1484</v>
      </c>
      <c r="E144" s="3" t="str">
        <f t="shared" si="10"/>
        <v xml:space="preserve">KC_LANGUAGE_1                                </v>
      </c>
      <c r="F144" s="3" t="s">
        <v>1472</v>
      </c>
      <c r="G144" s="3" t="str">
        <f t="shared" si="11"/>
        <v>0x0090</v>
      </c>
      <c r="H144" s="3" t="s">
        <v>1483</v>
      </c>
      <c r="I144" s="3" t="str">
        <f t="shared" si="12"/>
        <v/>
      </c>
      <c r="J144" s="5" t="s">
        <v>1482</v>
      </c>
      <c r="K144" s="2" t="str">
        <f t="shared" si="13"/>
        <v/>
      </c>
    </row>
    <row r="145" spans="1:11" x14ac:dyDescent="0.25">
      <c r="A145" s="2" t="s">
        <v>286</v>
      </c>
      <c r="B145" s="2" t="s">
        <v>287</v>
      </c>
      <c r="D145" s="4" t="s">
        <v>1484</v>
      </c>
      <c r="E145" s="3" t="str">
        <f t="shared" si="10"/>
        <v xml:space="preserve">KC_LANGUAGE_2                                </v>
      </c>
      <c r="F145" s="3" t="s">
        <v>1472</v>
      </c>
      <c r="G145" s="3" t="str">
        <f t="shared" si="11"/>
        <v>0x0091</v>
      </c>
      <c r="H145" s="3" t="s">
        <v>1483</v>
      </c>
      <c r="I145" s="3" t="str">
        <f t="shared" si="12"/>
        <v/>
      </c>
      <c r="J145" s="5" t="s">
        <v>1482</v>
      </c>
      <c r="K145" s="2" t="str">
        <f t="shared" si="13"/>
        <v/>
      </c>
    </row>
    <row r="146" spans="1:11" x14ac:dyDescent="0.25">
      <c r="A146" s="2" t="s">
        <v>288</v>
      </c>
      <c r="B146" s="2" t="s">
        <v>289</v>
      </c>
      <c r="D146" s="4" t="s">
        <v>1484</v>
      </c>
      <c r="E146" s="3" t="str">
        <f t="shared" si="10"/>
        <v xml:space="preserve">KC_LANGUAGE_3                                </v>
      </c>
      <c r="F146" s="3" t="s">
        <v>1472</v>
      </c>
      <c r="G146" s="3" t="str">
        <f t="shared" si="11"/>
        <v>0x0092</v>
      </c>
      <c r="H146" s="3" t="s">
        <v>1483</v>
      </c>
      <c r="I146" s="3" t="str">
        <f t="shared" si="12"/>
        <v/>
      </c>
      <c r="J146" s="5" t="s">
        <v>1482</v>
      </c>
      <c r="K146" s="2" t="str">
        <f t="shared" si="13"/>
        <v/>
      </c>
    </row>
    <row r="147" spans="1:11" x14ac:dyDescent="0.25">
      <c r="A147" s="2" t="s">
        <v>290</v>
      </c>
      <c r="B147" s="2" t="s">
        <v>291</v>
      </c>
      <c r="D147" s="4" t="s">
        <v>1484</v>
      </c>
      <c r="E147" s="3" t="str">
        <f t="shared" si="10"/>
        <v xml:space="preserve">KC_LANGUAGE_4                                </v>
      </c>
      <c r="F147" s="3" t="s">
        <v>1472</v>
      </c>
      <c r="G147" s="3" t="str">
        <f t="shared" si="11"/>
        <v>0x0093</v>
      </c>
      <c r="H147" s="3" t="s">
        <v>1483</v>
      </c>
      <c r="I147" s="3" t="str">
        <f t="shared" si="12"/>
        <v/>
      </c>
      <c r="J147" s="5" t="s">
        <v>1482</v>
      </c>
      <c r="K147" s="2" t="str">
        <f t="shared" si="13"/>
        <v/>
      </c>
    </row>
    <row r="148" spans="1:11" x14ac:dyDescent="0.25">
      <c r="A148" s="2" t="s">
        <v>292</v>
      </c>
      <c r="B148" s="2" t="s">
        <v>293</v>
      </c>
      <c r="D148" s="4" t="s">
        <v>1484</v>
      </c>
      <c r="E148" s="3" t="str">
        <f t="shared" si="10"/>
        <v xml:space="preserve">KC_LANGUAGE_5                                </v>
      </c>
      <c r="F148" s="3" t="s">
        <v>1472</v>
      </c>
      <c r="G148" s="3" t="str">
        <f t="shared" si="11"/>
        <v>0x0094</v>
      </c>
      <c r="H148" s="3" t="s">
        <v>1483</v>
      </c>
      <c r="I148" s="3" t="str">
        <f t="shared" si="12"/>
        <v/>
      </c>
      <c r="J148" s="5" t="s">
        <v>1482</v>
      </c>
      <c r="K148" s="2" t="str">
        <f t="shared" si="13"/>
        <v/>
      </c>
    </row>
    <row r="149" spans="1:11" x14ac:dyDescent="0.25">
      <c r="A149" s="2" t="s">
        <v>294</v>
      </c>
      <c r="B149" s="2" t="s">
        <v>295</v>
      </c>
      <c r="D149" s="4" t="s">
        <v>1484</v>
      </c>
      <c r="E149" s="3" t="str">
        <f t="shared" si="10"/>
        <v xml:space="preserve">KC_LANGUAGE_6                                </v>
      </c>
      <c r="F149" s="3" t="s">
        <v>1472</v>
      </c>
      <c r="G149" s="3" t="str">
        <f t="shared" si="11"/>
        <v>0x0095</v>
      </c>
      <c r="H149" s="3" t="s">
        <v>1483</v>
      </c>
      <c r="I149" s="3" t="str">
        <f t="shared" si="12"/>
        <v/>
      </c>
      <c r="J149" s="5" t="s">
        <v>1482</v>
      </c>
      <c r="K149" s="2" t="str">
        <f t="shared" si="13"/>
        <v/>
      </c>
    </row>
    <row r="150" spans="1:11" x14ac:dyDescent="0.25">
      <c r="A150" s="2" t="s">
        <v>296</v>
      </c>
      <c r="B150" s="2" t="s">
        <v>297</v>
      </c>
      <c r="D150" s="4" t="s">
        <v>1484</v>
      </c>
      <c r="E150" s="3" t="str">
        <f t="shared" si="10"/>
        <v xml:space="preserve">KC_LANGUAGE_7                                </v>
      </c>
      <c r="F150" s="3" t="s">
        <v>1472</v>
      </c>
      <c r="G150" s="3" t="str">
        <f t="shared" si="11"/>
        <v>0x0096</v>
      </c>
      <c r="H150" s="3" t="s">
        <v>1483</v>
      </c>
      <c r="I150" s="3" t="str">
        <f t="shared" si="12"/>
        <v/>
      </c>
      <c r="J150" s="5" t="s">
        <v>1482</v>
      </c>
      <c r="K150" s="2" t="str">
        <f t="shared" si="13"/>
        <v/>
      </c>
    </row>
    <row r="151" spans="1:11" x14ac:dyDescent="0.25">
      <c r="A151" s="2" t="s">
        <v>298</v>
      </c>
      <c r="B151" s="2" t="s">
        <v>299</v>
      </c>
      <c r="D151" s="4" t="s">
        <v>1484</v>
      </c>
      <c r="E151" s="3" t="str">
        <f t="shared" si="10"/>
        <v xml:space="preserve">KC_LANGUAGE_8                                </v>
      </c>
      <c r="F151" s="3" t="s">
        <v>1472</v>
      </c>
      <c r="G151" s="3" t="str">
        <f t="shared" si="11"/>
        <v>0x0097</v>
      </c>
      <c r="H151" s="3" t="s">
        <v>1483</v>
      </c>
      <c r="I151" s="3" t="str">
        <f t="shared" si="12"/>
        <v/>
      </c>
      <c r="J151" s="5" t="s">
        <v>1482</v>
      </c>
      <c r="K151" s="2" t="str">
        <f t="shared" si="13"/>
        <v/>
      </c>
    </row>
    <row r="152" spans="1:11" x14ac:dyDescent="0.25">
      <c r="A152" s="2" t="s">
        <v>300</v>
      </c>
      <c r="B152" s="2" t="s">
        <v>301</v>
      </c>
      <c r="D152" s="4" t="s">
        <v>1484</v>
      </c>
      <c r="E152" s="3" t="str">
        <f t="shared" si="10"/>
        <v xml:space="preserve">KC_LANGUAGE_9                                </v>
      </c>
      <c r="F152" s="3" t="s">
        <v>1472</v>
      </c>
      <c r="G152" s="3" t="str">
        <f t="shared" si="11"/>
        <v>0x0098</v>
      </c>
      <c r="H152" s="3" t="s">
        <v>1483</v>
      </c>
      <c r="I152" s="3" t="str">
        <f t="shared" si="12"/>
        <v/>
      </c>
      <c r="J152" s="5" t="s">
        <v>1482</v>
      </c>
      <c r="K152" s="2" t="str">
        <f t="shared" si="13"/>
        <v/>
      </c>
    </row>
    <row r="153" spans="1:11" x14ac:dyDescent="0.25">
      <c r="A153" s="2" t="s">
        <v>302</v>
      </c>
      <c r="B153" s="2" t="s">
        <v>303</v>
      </c>
      <c r="D153" s="4" t="s">
        <v>1484</v>
      </c>
      <c r="E153" s="3" t="str">
        <f t="shared" si="10"/>
        <v xml:space="preserve">KC_ALTERNATE_ERASE                           </v>
      </c>
      <c r="F153" s="3" t="s">
        <v>1472</v>
      </c>
      <c r="G153" s="3" t="str">
        <f t="shared" si="11"/>
        <v>0x0099</v>
      </c>
      <c r="H153" s="3" t="s">
        <v>1483</v>
      </c>
      <c r="I153" s="3" t="str">
        <f t="shared" si="12"/>
        <v/>
      </c>
      <c r="J153" s="5" t="s">
        <v>1482</v>
      </c>
      <c r="K153" s="2" t="str">
        <f t="shared" si="13"/>
        <v/>
      </c>
    </row>
    <row r="154" spans="1:11" x14ac:dyDescent="0.25">
      <c r="A154" s="2" t="s">
        <v>304</v>
      </c>
      <c r="B154" s="2" t="s">
        <v>305</v>
      </c>
      <c r="D154" s="4" t="s">
        <v>1484</v>
      </c>
      <c r="E154" s="3" t="str">
        <f t="shared" si="10"/>
        <v xml:space="preserve">KC_SYSTEM_REQUEST                            </v>
      </c>
      <c r="F154" s="3" t="s">
        <v>1472</v>
      </c>
      <c r="G154" s="3" t="str">
        <f t="shared" si="11"/>
        <v>0x009A</v>
      </c>
      <c r="H154" s="3" t="s">
        <v>1483</v>
      </c>
      <c r="I154" s="3" t="str">
        <f t="shared" si="12"/>
        <v/>
      </c>
      <c r="J154" s="5" t="s">
        <v>1482</v>
      </c>
      <c r="K154" s="2" t="str">
        <f t="shared" si="13"/>
        <v/>
      </c>
    </row>
    <row r="155" spans="1:11" x14ac:dyDescent="0.25">
      <c r="A155" s="2" t="s">
        <v>306</v>
      </c>
      <c r="B155" s="2" t="s">
        <v>307</v>
      </c>
      <c r="D155" s="4" t="s">
        <v>1484</v>
      </c>
      <c r="E155" s="3" t="str">
        <f t="shared" si="10"/>
        <v xml:space="preserve">KC_CANCEL                                    </v>
      </c>
      <c r="F155" s="3" t="s">
        <v>1472</v>
      </c>
      <c r="G155" s="3" t="str">
        <f t="shared" si="11"/>
        <v>0x009B</v>
      </c>
      <c r="H155" s="3" t="s">
        <v>1483</v>
      </c>
      <c r="I155" s="3" t="str">
        <f t="shared" si="12"/>
        <v/>
      </c>
      <c r="J155" s="5" t="s">
        <v>1482</v>
      </c>
      <c r="K155" s="2" t="str">
        <f t="shared" si="13"/>
        <v/>
      </c>
    </row>
    <row r="156" spans="1:11" x14ac:dyDescent="0.25">
      <c r="A156" s="2" t="s">
        <v>308</v>
      </c>
      <c r="B156" s="2" t="s">
        <v>309</v>
      </c>
      <c r="D156" s="4" t="s">
        <v>1484</v>
      </c>
      <c r="E156" s="3" t="str">
        <f t="shared" si="10"/>
        <v xml:space="preserve">KC_CLEAR                                     </v>
      </c>
      <c r="F156" s="3" t="s">
        <v>1472</v>
      </c>
      <c r="G156" s="3" t="str">
        <f t="shared" si="11"/>
        <v>0x009C</v>
      </c>
      <c r="H156" s="3" t="s">
        <v>1483</v>
      </c>
      <c r="I156" s="3" t="str">
        <f t="shared" si="12"/>
        <v/>
      </c>
      <c r="J156" s="5" t="s">
        <v>1482</v>
      </c>
      <c r="K156" s="2" t="str">
        <f t="shared" si="13"/>
        <v/>
      </c>
    </row>
    <row r="157" spans="1:11" x14ac:dyDescent="0.25">
      <c r="A157" s="2" t="s">
        <v>310</v>
      </c>
      <c r="B157" s="2" t="s">
        <v>311</v>
      </c>
      <c r="D157" s="4" t="s">
        <v>1484</v>
      </c>
      <c r="E157" s="3" t="str">
        <f t="shared" si="10"/>
        <v xml:space="preserve">KC_PRIOR                                     </v>
      </c>
      <c r="F157" s="3" t="s">
        <v>1472</v>
      </c>
      <c r="G157" s="3" t="str">
        <f t="shared" si="11"/>
        <v>0x009D</v>
      </c>
      <c r="H157" s="3" t="s">
        <v>1483</v>
      </c>
      <c r="I157" s="3" t="str">
        <f t="shared" si="12"/>
        <v/>
      </c>
      <c r="J157" s="5" t="s">
        <v>1482</v>
      </c>
      <c r="K157" s="2" t="str">
        <f t="shared" si="13"/>
        <v/>
      </c>
    </row>
    <row r="158" spans="1:11" x14ac:dyDescent="0.25">
      <c r="A158" s="2" t="s">
        <v>312</v>
      </c>
      <c r="B158" s="2" t="s">
        <v>313</v>
      </c>
      <c r="D158" s="4" t="s">
        <v>1484</v>
      </c>
      <c r="E158" s="3" t="str">
        <f t="shared" si="10"/>
        <v xml:space="preserve">KC_RETURN                                    </v>
      </c>
      <c r="F158" s="3" t="s">
        <v>1472</v>
      </c>
      <c r="G158" s="3" t="str">
        <f t="shared" si="11"/>
        <v>0x009E</v>
      </c>
      <c r="H158" s="3" t="s">
        <v>1483</v>
      </c>
      <c r="I158" s="3" t="str">
        <f t="shared" si="12"/>
        <v/>
      </c>
      <c r="J158" s="5" t="s">
        <v>1482</v>
      </c>
      <c r="K158" s="2" t="str">
        <f t="shared" si="13"/>
        <v/>
      </c>
    </row>
    <row r="159" spans="1:11" x14ac:dyDescent="0.25">
      <c r="A159" s="2" t="s">
        <v>314</v>
      </c>
      <c r="B159" s="2" t="s">
        <v>315</v>
      </c>
      <c r="D159" s="4" t="s">
        <v>1484</v>
      </c>
      <c r="E159" s="3" t="str">
        <f t="shared" si="10"/>
        <v xml:space="preserve">KC_SEPARATOR                                 </v>
      </c>
      <c r="F159" s="3" t="s">
        <v>1472</v>
      </c>
      <c r="G159" s="3" t="str">
        <f t="shared" si="11"/>
        <v>0x009F</v>
      </c>
      <c r="H159" s="3" t="s">
        <v>1483</v>
      </c>
      <c r="I159" s="3" t="str">
        <f t="shared" si="12"/>
        <v/>
      </c>
      <c r="J159" s="5" t="s">
        <v>1482</v>
      </c>
      <c r="K159" s="2" t="str">
        <f t="shared" si="13"/>
        <v/>
      </c>
    </row>
    <row r="160" spans="1:11" x14ac:dyDescent="0.25">
      <c r="A160" s="2" t="s">
        <v>316</v>
      </c>
      <c r="B160" s="2" t="s">
        <v>317</v>
      </c>
      <c r="D160" s="4" t="s">
        <v>1484</v>
      </c>
      <c r="E160" s="3" t="str">
        <f t="shared" si="10"/>
        <v xml:space="preserve">KC_OUT                                       </v>
      </c>
      <c r="F160" s="3" t="s">
        <v>1472</v>
      </c>
      <c r="G160" s="3" t="str">
        <f t="shared" si="11"/>
        <v>0x00A0</v>
      </c>
      <c r="H160" s="3" t="s">
        <v>1483</v>
      </c>
      <c r="I160" s="3" t="str">
        <f t="shared" si="12"/>
        <v/>
      </c>
      <c r="J160" s="5" t="s">
        <v>1482</v>
      </c>
      <c r="K160" s="2" t="str">
        <f t="shared" si="13"/>
        <v/>
      </c>
    </row>
    <row r="161" spans="1:11" x14ac:dyDescent="0.25">
      <c r="A161" s="2" t="s">
        <v>318</v>
      </c>
      <c r="B161" s="2" t="s">
        <v>319</v>
      </c>
      <c r="D161" s="4" t="s">
        <v>1484</v>
      </c>
      <c r="E161" s="3" t="str">
        <f t="shared" si="10"/>
        <v xml:space="preserve">KC_OPER                                      </v>
      </c>
      <c r="F161" s="3" t="s">
        <v>1472</v>
      </c>
      <c r="G161" s="3" t="str">
        <f t="shared" si="11"/>
        <v>0x00A1</v>
      </c>
      <c r="H161" s="3" t="s">
        <v>1483</v>
      </c>
      <c r="I161" s="3" t="str">
        <f t="shared" si="12"/>
        <v/>
      </c>
      <c r="J161" s="5" t="s">
        <v>1482</v>
      </c>
      <c r="K161" s="2" t="str">
        <f t="shared" si="13"/>
        <v/>
      </c>
    </row>
    <row r="162" spans="1:11" x14ac:dyDescent="0.25">
      <c r="A162" s="2" t="s">
        <v>320</v>
      </c>
      <c r="B162" s="2" t="s">
        <v>321</v>
      </c>
      <c r="D162" s="4" t="s">
        <v>1484</v>
      </c>
      <c r="E162" s="3" t="str">
        <f t="shared" si="10"/>
        <v xml:space="preserve">KC_CLEAR_AGAIN                               </v>
      </c>
      <c r="F162" s="3" t="s">
        <v>1472</v>
      </c>
      <c r="G162" s="3" t="str">
        <f t="shared" si="11"/>
        <v>0x00A2</v>
      </c>
      <c r="H162" s="3" t="s">
        <v>1483</v>
      </c>
      <c r="I162" s="3" t="str">
        <f t="shared" si="12"/>
        <v/>
      </c>
      <c r="J162" s="5" t="s">
        <v>1482</v>
      </c>
      <c r="K162" s="2" t="str">
        <f t="shared" si="13"/>
        <v/>
      </c>
    </row>
    <row r="163" spans="1:11" x14ac:dyDescent="0.25">
      <c r="A163" s="2" t="s">
        <v>322</v>
      </c>
      <c r="B163" s="2" t="s">
        <v>323</v>
      </c>
      <c r="D163" s="4" t="s">
        <v>1484</v>
      </c>
      <c r="E163" s="3" t="str">
        <f t="shared" si="10"/>
        <v xml:space="preserve">KC_CRSEL                                     </v>
      </c>
      <c r="F163" s="3" t="s">
        <v>1472</v>
      </c>
      <c r="G163" s="3" t="str">
        <f t="shared" si="11"/>
        <v>0x00A3</v>
      </c>
      <c r="H163" s="3" t="s">
        <v>1483</v>
      </c>
      <c r="I163" s="3" t="str">
        <f t="shared" si="12"/>
        <v/>
      </c>
      <c r="J163" s="5" t="s">
        <v>1482</v>
      </c>
      <c r="K163" s="2" t="str">
        <f t="shared" si="13"/>
        <v/>
      </c>
    </row>
    <row r="164" spans="1:11" x14ac:dyDescent="0.25">
      <c r="A164" s="2" t="s">
        <v>324</v>
      </c>
      <c r="B164" s="2" t="s">
        <v>325</v>
      </c>
      <c r="D164" s="4" t="s">
        <v>1484</v>
      </c>
      <c r="E164" s="3" t="str">
        <f t="shared" si="10"/>
        <v xml:space="preserve">KC_EXSEL                                     </v>
      </c>
      <c r="F164" s="3" t="s">
        <v>1472</v>
      </c>
      <c r="G164" s="3" t="str">
        <f t="shared" si="11"/>
        <v>0x00A4</v>
      </c>
      <c r="H164" s="3" t="s">
        <v>1483</v>
      </c>
      <c r="I164" s="3" t="str">
        <f t="shared" si="12"/>
        <v/>
      </c>
      <c r="J164" s="5" t="s">
        <v>1482</v>
      </c>
      <c r="K164" s="2" t="str">
        <f t="shared" si="13"/>
        <v/>
      </c>
    </row>
    <row r="165" spans="1:11" x14ac:dyDescent="0.25">
      <c r="A165" s="2" t="s">
        <v>326</v>
      </c>
      <c r="B165" s="2" t="s">
        <v>327</v>
      </c>
      <c r="D165" s="4" t="s">
        <v>1484</v>
      </c>
      <c r="E165" s="3" t="str">
        <f t="shared" si="10"/>
        <v xml:space="preserve">KC_SYSTEM_POWER                              </v>
      </c>
      <c r="F165" s="3" t="s">
        <v>1472</v>
      </c>
      <c r="G165" s="3" t="str">
        <f t="shared" si="11"/>
        <v>0x00A5</v>
      </c>
      <c r="H165" s="3" t="s">
        <v>1483</v>
      </c>
      <c r="I165" s="3" t="str">
        <f t="shared" si="12"/>
        <v/>
      </c>
      <c r="J165" s="5" t="s">
        <v>1482</v>
      </c>
      <c r="K165" s="2" t="str">
        <f t="shared" si="13"/>
        <v/>
      </c>
    </row>
    <row r="166" spans="1:11" x14ac:dyDescent="0.25">
      <c r="A166" s="2" t="s">
        <v>328</v>
      </c>
      <c r="B166" s="2" t="s">
        <v>329</v>
      </c>
      <c r="D166" s="4" t="s">
        <v>1484</v>
      </c>
      <c r="E166" s="3" t="str">
        <f t="shared" si="10"/>
        <v xml:space="preserve">KC_SYSTEM_SLEEP                              </v>
      </c>
      <c r="F166" s="3" t="s">
        <v>1472</v>
      </c>
      <c r="G166" s="3" t="str">
        <f t="shared" si="11"/>
        <v>0x00A6</v>
      </c>
      <c r="H166" s="3" t="s">
        <v>1483</v>
      </c>
      <c r="I166" s="3" t="str">
        <f t="shared" si="12"/>
        <v/>
      </c>
      <c r="J166" s="5" t="s">
        <v>1482</v>
      </c>
      <c r="K166" s="2" t="str">
        <f t="shared" si="13"/>
        <v/>
      </c>
    </row>
    <row r="167" spans="1:11" x14ac:dyDescent="0.25">
      <c r="A167" s="2" t="s">
        <v>330</v>
      </c>
      <c r="B167" s="2" t="s">
        <v>331</v>
      </c>
      <c r="D167" s="4" t="s">
        <v>1484</v>
      </c>
      <c r="E167" s="3" t="str">
        <f t="shared" si="10"/>
        <v xml:space="preserve">KC_SYSTEM_WAKE                               </v>
      </c>
      <c r="F167" s="3" t="s">
        <v>1472</v>
      </c>
      <c r="G167" s="3" t="str">
        <f t="shared" si="11"/>
        <v>0x00A7</v>
      </c>
      <c r="H167" s="3" t="s">
        <v>1483</v>
      </c>
      <c r="I167" s="3" t="str">
        <f t="shared" si="12"/>
        <v/>
      </c>
      <c r="J167" s="5" t="s">
        <v>1482</v>
      </c>
      <c r="K167" s="2" t="str">
        <f t="shared" si="13"/>
        <v/>
      </c>
    </row>
    <row r="168" spans="1:11" x14ac:dyDescent="0.25">
      <c r="A168" s="2" t="s">
        <v>332</v>
      </c>
      <c r="B168" s="2" t="s">
        <v>333</v>
      </c>
      <c r="C168" s="3" t="s">
        <v>1620</v>
      </c>
      <c r="D168" s="4" t="s">
        <v>1484</v>
      </c>
      <c r="E168" s="3" t="str">
        <f t="shared" si="10"/>
        <v xml:space="preserve">KC_AUDIO_MUTE                                </v>
      </c>
      <c r="F168" s="3" t="s">
        <v>1472</v>
      </c>
      <c r="G168" s="3" t="str">
        <f t="shared" si="11"/>
        <v>0x00A8</v>
      </c>
      <c r="H168" s="3" t="s">
        <v>1483</v>
      </c>
      <c r="I168" s="3" t="str">
        <f t="shared" si="12"/>
        <v>Mute</v>
      </c>
      <c r="J168" s="5" t="s">
        <v>1482</v>
      </c>
      <c r="K168" s="2" t="str">
        <f t="shared" si="13"/>
        <v xml:space="preserve">    X (  KC_AUDIO_MUTE                                , 0x00A8,    "Mute"     ) \</v>
      </c>
    </row>
    <row r="169" spans="1:11" x14ac:dyDescent="0.25">
      <c r="A169" s="2" t="s">
        <v>334</v>
      </c>
      <c r="B169" s="2" t="s">
        <v>335</v>
      </c>
      <c r="C169" s="3" t="s">
        <v>1621</v>
      </c>
      <c r="D169" s="4" t="s">
        <v>1484</v>
      </c>
      <c r="E169" s="3" t="str">
        <f t="shared" si="10"/>
        <v xml:space="preserve">KC_AUDIO_VOL_UP                              </v>
      </c>
      <c r="F169" s="3" t="s">
        <v>1472</v>
      </c>
      <c r="G169" s="3" t="str">
        <f t="shared" si="11"/>
        <v>0x00A9</v>
      </c>
      <c r="H169" s="3" t="s">
        <v>1483</v>
      </c>
      <c r="I169" s="3" t="str">
        <f t="shared" si="12"/>
        <v>Vol+</v>
      </c>
      <c r="J169" s="5" t="s">
        <v>1482</v>
      </c>
      <c r="K169" s="2" t="str">
        <f t="shared" si="13"/>
        <v xml:space="preserve">    X (  KC_AUDIO_VOL_UP                              , 0x00A9,    "Vol+"     ) \</v>
      </c>
    </row>
    <row r="170" spans="1:11" x14ac:dyDescent="0.25">
      <c r="A170" s="2" t="s">
        <v>336</v>
      </c>
      <c r="B170" s="2" t="s">
        <v>337</v>
      </c>
      <c r="C170" s="3" t="s">
        <v>1622</v>
      </c>
      <c r="D170" s="4" t="s">
        <v>1484</v>
      </c>
      <c r="E170" s="3" t="str">
        <f t="shared" si="10"/>
        <v xml:space="preserve">KC_AUDIO_VOL_DOWN                            </v>
      </c>
      <c r="F170" s="3" t="s">
        <v>1472</v>
      </c>
      <c r="G170" s="3" t="str">
        <f t="shared" si="11"/>
        <v>0x00AA</v>
      </c>
      <c r="H170" s="3" t="s">
        <v>1483</v>
      </c>
      <c r="I170" s="3" t="str">
        <f t="shared" si="12"/>
        <v>Vol-</v>
      </c>
      <c r="J170" s="5" t="s">
        <v>1482</v>
      </c>
      <c r="K170" s="2" t="str">
        <f t="shared" si="13"/>
        <v xml:space="preserve">    X (  KC_AUDIO_VOL_DOWN                            , 0x00AA,    "Vol-"     ) \</v>
      </c>
    </row>
    <row r="171" spans="1:11" x14ac:dyDescent="0.25">
      <c r="A171" s="2" t="s">
        <v>338</v>
      </c>
      <c r="B171" s="2" t="s">
        <v>339</v>
      </c>
      <c r="C171" s="3" t="s">
        <v>1623</v>
      </c>
      <c r="D171" s="4" t="s">
        <v>1484</v>
      </c>
      <c r="E171" s="3" t="str">
        <f t="shared" si="10"/>
        <v xml:space="preserve">KC_MEDIA_NEXT_TRACK                          </v>
      </c>
      <c r="F171" s="3" t="s">
        <v>1472</v>
      </c>
      <c r="G171" s="3" t="str">
        <f t="shared" si="11"/>
        <v>0x00AB</v>
      </c>
      <c r="H171" s="3" t="s">
        <v>1483</v>
      </c>
      <c r="I171" s="3" t="str">
        <f t="shared" si="12"/>
        <v>Next</v>
      </c>
      <c r="J171" s="5" t="s">
        <v>1482</v>
      </c>
      <c r="K171" s="2" t="str">
        <f t="shared" si="13"/>
        <v xml:space="preserve">    X (  KC_MEDIA_NEXT_TRACK                          , 0x00AB,    "Next"     ) \</v>
      </c>
    </row>
    <row r="172" spans="1:11" x14ac:dyDescent="0.25">
      <c r="A172" s="2" t="s">
        <v>340</v>
      </c>
      <c r="B172" s="2" t="s">
        <v>341</v>
      </c>
      <c r="C172" s="3" t="s">
        <v>1624</v>
      </c>
      <c r="D172" s="4" t="s">
        <v>1484</v>
      </c>
      <c r="E172" s="3" t="str">
        <f t="shared" si="10"/>
        <v xml:space="preserve">KC_MEDIA_PREV_TRACK                          </v>
      </c>
      <c r="F172" s="3" t="s">
        <v>1472</v>
      </c>
      <c r="G172" s="3" t="str">
        <f t="shared" si="11"/>
        <v>0x00AC</v>
      </c>
      <c r="H172" s="3" t="s">
        <v>1483</v>
      </c>
      <c r="I172" s="3" t="str">
        <f t="shared" si="12"/>
        <v>Prev</v>
      </c>
      <c r="J172" s="5" t="s">
        <v>1482</v>
      </c>
      <c r="K172" s="2" t="str">
        <f t="shared" si="13"/>
        <v xml:space="preserve">    X (  KC_MEDIA_PREV_TRACK                          , 0x00AC,    "Prev"     ) \</v>
      </c>
    </row>
    <row r="173" spans="1:11" x14ac:dyDescent="0.25">
      <c r="A173" s="2" t="s">
        <v>342</v>
      </c>
      <c r="B173" s="2" t="s">
        <v>343</v>
      </c>
      <c r="C173" s="3" t="s">
        <v>1625</v>
      </c>
      <c r="D173" s="4" t="s">
        <v>1484</v>
      </c>
      <c r="E173" s="3" t="str">
        <f t="shared" si="10"/>
        <v xml:space="preserve">KC_MEDIA_STOP                                </v>
      </c>
      <c r="F173" s="3" t="s">
        <v>1472</v>
      </c>
      <c r="G173" s="3" t="str">
        <f t="shared" si="11"/>
        <v>0x00AD</v>
      </c>
      <c r="H173" s="3" t="s">
        <v>1483</v>
      </c>
      <c r="I173" s="3" t="str">
        <f t="shared" si="12"/>
        <v>Stop</v>
      </c>
      <c r="J173" s="5" t="s">
        <v>1482</v>
      </c>
      <c r="K173" s="2" t="str">
        <f t="shared" si="13"/>
        <v xml:space="preserve">    X (  KC_MEDIA_STOP                                , 0x00AD,    "Stop"     ) \</v>
      </c>
    </row>
    <row r="174" spans="1:11" x14ac:dyDescent="0.25">
      <c r="A174" s="2" t="s">
        <v>344</v>
      </c>
      <c r="B174" s="2" t="s">
        <v>345</v>
      </c>
      <c r="C174" s="3" t="s">
        <v>1626</v>
      </c>
      <c r="D174" s="4" t="s">
        <v>1484</v>
      </c>
      <c r="E174" s="3" t="str">
        <f t="shared" si="10"/>
        <v xml:space="preserve">KC_MEDIA_PLAY_PAUSE                          </v>
      </c>
      <c r="F174" s="3" t="s">
        <v>1472</v>
      </c>
      <c r="G174" s="3" t="str">
        <f t="shared" si="11"/>
        <v>0x00AE</v>
      </c>
      <c r="H174" s="3" t="s">
        <v>1483</v>
      </c>
      <c r="I174" s="3" t="str">
        <f t="shared" si="12"/>
        <v>Play</v>
      </c>
      <c r="J174" s="5" t="s">
        <v>1482</v>
      </c>
      <c r="K174" s="2" t="str">
        <f t="shared" si="13"/>
        <v xml:space="preserve">    X (  KC_MEDIA_PLAY_PAUSE                          , 0x00AE,    "Play"     ) \</v>
      </c>
    </row>
    <row r="175" spans="1:11" x14ac:dyDescent="0.25">
      <c r="A175" s="2" t="s">
        <v>346</v>
      </c>
      <c r="B175" s="2" t="s">
        <v>347</v>
      </c>
      <c r="C175" s="3" t="s">
        <v>1627</v>
      </c>
      <c r="D175" s="4" t="s">
        <v>1484</v>
      </c>
      <c r="E175" s="3" t="str">
        <f t="shared" si="10"/>
        <v xml:space="preserve">KC_MEDIA_SELECT                              </v>
      </c>
      <c r="F175" s="3" t="s">
        <v>1472</v>
      </c>
      <c r="G175" s="3" t="str">
        <f t="shared" si="11"/>
        <v>0x00AF</v>
      </c>
      <c r="H175" s="3" t="s">
        <v>1483</v>
      </c>
      <c r="I175" s="3" t="str">
        <f t="shared" si="12"/>
        <v>Media</v>
      </c>
      <c r="J175" s="5" t="s">
        <v>1482</v>
      </c>
      <c r="K175" s="2" t="str">
        <f t="shared" si="13"/>
        <v xml:space="preserve">    X (  KC_MEDIA_SELECT                              , 0x00AF,    "Media"     ) \</v>
      </c>
    </row>
    <row r="176" spans="1:11" x14ac:dyDescent="0.25">
      <c r="A176" s="2" t="s">
        <v>348</v>
      </c>
      <c r="B176" s="2" t="s">
        <v>349</v>
      </c>
      <c r="D176" s="4" t="s">
        <v>1484</v>
      </c>
      <c r="E176" s="3" t="str">
        <f t="shared" si="10"/>
        <v xml:space="preserve">KC_MEDIA_EJECT                               </v>
      </c>
      <c r="F176" s="3" t="s">
        <v>1472</v>
      </c>
      <c r="G176" s="3" t="str">
        <f t="shared" si="11"/>
        <v>0x00B0</v>
      </c>
      <c r="H176" s="3" t="s">
        <v>1483</v>
      </c>
      <c r="I176" s="3" t="str">
        <f t="shared" si="12"/>
        <v/>
      </c>
      <c r="J176" s="5" t="s">
        <v>1482</v>
      </c>
      <c r="K176" s="2" t="str">
        <f t="shared" si="13"/>
        <v/>
      </c>
    </row>
    <row r="177" spans="1:11" x14ac:dyDescent="0.25">
      <c r="A177" s="2" t="s">
        <v>350</v>
      </c>
      <c r="B177" s="2" t="s">
        <v>351</v>
      </c>
      <c r="D177" s="4" t="s">
        <v>1484</v>
      </c>
      <c r="E177" s="3" t="str">
        <f t="shared" si="10"/>
        <v xml:space="preserve">KC_MAIL                                      </v>
      </c>
      <c r="F177" s="3" t="s">
        <v>1472</v>
      </c>
      <c r="G177" s="3" t="str">
        <f t="shared" si="11"/>
        <v>0x00B1</v>
      </c>
      <c r="H177" s="3" t="s">
        <v>1483</v>
      </c>
      <c r="I177" s="3" t="str">
        <f t="shared" si="12"/>
        <v/>
      </c>
      <c r="J177" s="5" t="s">
        <v>1482</v>
      </c>
      <c r="K177" s="2" t="str">
        <f t="shared" si="13"/>
        <v/>
      </c>
    </row>
    <row r="178" spans="1:11" x14ac:dyDescent="0.25">
      <c r="A178" s="2" t="s">
        <v>352</v>
      </c>
      <c r="B178" s="2" t="s">
        <v>353</v>
      </c>
      <c r="C178" s="3" t="s">
        <v>1591</v>
      </c>
      <c r="D178" s="4" t="s">
        <v>1484</v>
      </c>
      <c r="E178" s="3" t="str">
        <f t="shared" si="10"/>
        <v xml:space="preserve">KC_CALCULATOR                                </v>
      </c>
      <c r="F178" s="3" t="s">
        <v>1472</v>
      </c>
      <c r="G178" s="3" t="str">
        <f t="shared" si="11"/>
        <v>0x00B2</v>
      </c>
      <c r="H178" s="3" t="s">
        <v>1483</v>
      </c>
      <c r="I178" s="3" t="str">
        <f t="shared" si="12"/>
        <v>Cal</v>
      </c>
      <c r="J178" s="5" t="s">
        <v>1482</v>
      </c>
      <c r="K178" s="2" t="str">
        <f t="shared" si="13"/>
        <v xml:space="preserve">    X (  KC_CALCULATOR                                , 0x00B2,    "Cal"     ) \</v>
      </c>
    </row>
    <row r="179" spans="1:11" x14ac:dyDescent="0.25">
      <c r="A179" s="2" t="s">
        <v>354</v>
      </c>
      <c r="B179" s="2" t="s">
        <v>355</v>
      </c>
      <c r="C179" s="3" t="s">
        <v>1592</v>
      </c>
      <c r="D179" s="4" t="s">
        <v>1484</v>
      </c>
      <c r="E179" s="3" t="str">
        <f t="shared" si="10"/>
        <v xml:space="preserve">KC_MY_COMPUTER                               </v>
      </c>
      <c r="F179" s="3" t="s">
        <v>1472</v>
      </c>
      <c r="G179" s="3" t="str">
        <f t="shared" si="11"/>
        <v>0x00B3</v>
      </c>
      <c r="H179" s="3" t="s">
        <v>1483</v>
      </c>
      <c r="I179" s="3" t="str">
        <f t="shared" si="12"/>
        <v>Com</v>
      </c>
      <c r="J179" s="5" t="s">
        <v>1482</v>
      </c>
      <c r="K179" s="2" t="str">
        <f t="shared" si="13"/>
        <v xml:space="preserve">    X (  KC_MY_COMPUTER                               , 0x00B3,    "Com"     ) \</v>
      </c>
    </row>
    <row r="180" spans="1:11" x14ac:dyDescent="0.25">
      <c r="A180" s="2" t="s">
        <v>356</v>
      </c>
      <c r="B180" s="2" t="s">
        <v>357</v>
      </c>
      <c r="D180" s="4" t="s">
        <v>1484</v>
      </c>
      <c r="E180" s="3" t="str">
        <f t="shared" si="10"/>
        <v xml:space="preserve">KC_WWW_SEARCH                                </v>
      </c>
      <c r="F180" s="3" t="s">
        <v>1472</v>
      </c>
      <c r="G180" s="3" t="str">
        <f t="shared" si="11"/>
        <v>0x00B4</v>
      </c>
      <c r="H180" s="3" t="s">
        <v>1483</v>
      </c>
      <c r="I180" s="3" t="str">
        <f t="shared" si="12"/>
        <v/>
      </c>
      <c r="J180" s="5" t="s">
        <v>1482</v>
      </c>
      <c r="K180" s="2" t="str">
        <f t="shared" si="13"/>
        <v/>
      </c>
    </row>
    <row r="181" spans="1:11" x14ac:dyDescent="0.25">
      <c r="A181" s="2" t="s">
        <v>358</v>
      </c>
      <c r="B181" s="2" t="s">
        <v>359</v>
      </c>
      <c r="C181" s="3" t="s">
        <v>1593</v>
      </c>
      <c r="D181" s="4" t="s">
        <v>1484</v>
      </c>
      <c r="E181" s="3" t="str">
        <f t="shared" si="10"/>
        <v xml:space="preserve">KC_WWW_HOME                                  </v>
      </c>
      <c r="F181" s="3" t="s">
        <v>1472</v>
      </c>
      <c r="G181" s="3" t="str">
        <f t="shared" si="11"/>
        <v>0x00B5</v>
      </c>
      <c r="H181" s="3" t="s">
        <v>1483</v>
      </c>
      <c r="I181" s="3" t="str">
        <f t="shared" si="12"/>
        <v>Web</v>
      </c>
      <c r="J181" s="5" t="s">
        <v>1482</v>
      </c>
      <c r="K181" s="2" t="str">
        <f t="shared" si="13"/>
        <v xml:space="preserve">    X (  KC_WWW_HOME                                  , 0x00B5,    "Web"     ) \</v>
      </c>
    </row>
    <row r="182" spans="1:11" x14ac:dyDescent="0.25">
      <c r="A182" s="2" t="s">
        <v>360</v>
      </c>
      <c r="B182" s="2" t="s">
        <v>361</v>
      </c>
      <c r="C182" s="3" t="s">
        <v>1594</v>
      </c>
      <c r="D182" s="4" t="s">
        <v>1484</v>
      </c>
      <c r="E182" s="3" t="str">
        <f t="shared" si="10"/>
        <v xml:space="preserve">KC_WWW_BACK                                  </v>
      </c>
      <c r="F182" s="3" t="s">
        <v>1472</v>
      </c>
      <c r="G182" s="3" t="str">
        <f t="shared" si="11"/>
        <v>0x00B6</v>
      </c>
      <c r="H182" s="3" t="s">
        <v>1483</v>
      </c>
      <c r="I182" s="3" t="str">
        <f t="shared" si="12"/>
        <v>&lt;</v>
      </c>
      <c r="J182" s="5" t="s">
        <v>1482</v>
      </c>
      <c r="K182" s="2" t="str">
        <f t="shared" si="13"/>
        <v xml:space="preserve">    X (  KC_WWW_BACK                                  , 0x00B6,    "&lt;"     ) \</v>
      </c>
    </row>
    <row r="183" spans="1:11" x14ac:dyDescent="0.25">
      <c r="A183" s="2" t="s">
        <v>362</v>
      </c>
      <c r="B183" s="2" t="s">
        <v>363</v>
      </c>
      <c r="C183" s="3" t="s">
        <v>1595</v>
      </c>
      <c r="D183" s="4" t="s">
        <v>1484</v>
      </c>
      <c r="E183" s="3" t="str">
        <f t="shared" si="10"/>
        <v xml:space="preserve">KC_WWW_FORWARD                               </v>
      </c>
      <c r="F183" s="3" t="s">
        <v>1472</v>
      </c>
      <c r="G183" s="3" t="str">
        <f t="shared" si="11"/>
        <v>0x00B7</v>
      </c>
      <c r="H183" s="3" t="s">
        <v>1483</v>
      </c>
      <c r="I183" s="3" t="str">
        <f t="shared" si="12"/>
        <v>&gt;</v>
      </c>
      <c r="J183" s="5" t="s">
        <v>1482</v>
      </c>
      <c r="K183" s="2" t="str">
        <f t="shared" si="13"/>
        <v xml:space="preserve">    X (  KC_WWW_FORWARD                               , 0x00B7,    "&gt;"     ) \</v>
      </c>
    </row>
    <row r="184" spans="1:11" x14ac:dyDescent="0.25">
      <c r="A184" s="2" t="s">
        <v>364</v>
      </c>
      <c r="B184" s="2" t="s">
        <v>365</v>
      </c>
      <c r="D184" s="4" t="s">
        <v>1484</v>
      </c>
      <c r="E184" s="3" t="str">
        <f t="shared" si="10"/>
        <v xml:space="preserve">KC_WWW_STOP                                  </v>
      </c>
      <c r="F184" s="3" t="s">
        <v>1472</v>
      </c>
      <c r="G184" s="3" t="str">
        <f t="shared" si="11"/>
        <v>0x00B8</v>
      </c>
      <c r="H184" s="3" t="s">
        <v>1483</v>
      </c>
      <c r="I184" s="3" t="str">
        <f t="shared" si="12"/>
        <v/>
      </c>
      <c r="J184" s="5" t="s">
        <v>1482</v>
      </c>
      <c r="K184" s="2" t="str">
        <f t="shared" si="13"/>
        <v/>
      </c>
    </row>
    <row r="185" spans="1:11" x14ac:dyDescent="0.25">
      <c r="A185" s="2" t="s">
        <v>366</v>
      </c>
      <c r="B185" s="2" t="s">
        <v>367</v>
      </c>
      <c r="C185" s="3" t="s">
        <v>1489</v>
      </c>
      <c r="D185" s="4" t="s">
        <v>1484</v>
      </c>
      <c r="E185" s="3" t="str">
        <f t="shared" si="10"/>
        <v xml:space="preserve">KC_WWW_REFRESH                               </v>
      </c>
      <c r="F185" s="3" t="s">
        <v>1472</v>
      </c>
      <c r="G185" s="3" t="str">
        <f t="shared" si="11"/>
        <v>0x00B9</v>
      </c>
      <c r="H185" s="3" t="s">
        <v>1483</v>
      </c>
      <c r="I185" s="3" t="str">
        <f t="shared" si="12"/>
        <v>F5</v>
      </c>
      <c r="J185" s="5" t="s">
        <v>1482</v>
      </c>
      <c r="K185" s="2" t="str">
        <f t="shared" si="13"/>
        <v xml:space="preserve">    X (  KC_WWW_REFRESH                               , 0x00B9,    "F5"     ) \</v>
      </c>
    </row>
    <row r="186" spans="1:11" x14ac:dyDescent="0.25">
      <c r="A186" s="2" t="s">
        <v>368</v>
      </c>
      <c r="B186" s="2" t="s">
        <v>369</v>
      </c>
      <c r="D186" s="4" t="s">
        <v>1484</v>
      </c>
      <c r="E186" s="3" t="str">
        <f t="shared" si="10"/>
        <v xml:space="preserve">KC_WWW_FAVORITES                             </v>
      </c>
      <c r="F186" s="3" t="s">
        <v>1472</v>
      </c>
      <c r="G186" s="3" t="str">
        <f t="shared" si="11"/>
        <v>0x00BA</v>
      </c>
      <c r="H186" s="3" t="s">
        <v>1483</v>
      </c>
      <c r="I186" s="3" t="str">
        <f t="shared" si="12"/>
        <v/>
      </c>
      <c r="J186" s="5" t="s">
        <v>1482</v>
      </c>
      <c r="K186" s="2" t="str">
        <f t="shared" si="13"/>
        <v/>
      </c>
    </row>
    <row r="187" spans="1:11" x14ac:dyDescent="0.25">
      <c r="A187" s="2" t="s">
        <v>370</v>
      </c>
      <c r="B187" s="2" t="s">
        <v>371</v>
      </c>
      <c r="D187" s="4" t="s">
        <v>1484</v>
      </c>
      <c r="E187" s="3" t="str">
        <f t="shared" si="10"/>
        <v xml:space="preserve">KC_MEDIA_FAST_FORWARD                        </v>
      </c>
      <c r="F187" s="3" t="s">
        <v>1472</v>
      </c>
      <c r="G187" s="3" t="str">
        <f t="shared" si="11"/>
        <v>0x00BB</v>
      </c>
      <c r="H187" s="3" t="s">
        <v>1483</v>
      </c>
      <c r="I187" s="3" t="str">
        <f t="shared" si="12"/>
        <v/>
      </c>
      <c r="J187" s="5" t="s">
        <v>1482</v>
      </c>
      <c r="K187" s="2" t="str">
        <f t="shared" si="13"/>
        <v/>
      </c>
    </row>
    <row r="188" spans="1:11" x14ac:dyDescent="0.25">
      <c r="A188" s="2" t="s">
        <v>372</v>
      </c>
      <c r="B188" s="2" t="s">
        <v>373</v>
      </c>
      <c r="D188" s="4" t="s">
        <v>1484</v>
      </c>
      <c r="E188" s="3" t="str">
        <f t="shared" si="10"/>
        <v xml:space="preserve">KC_MEDIA_REWIND                              </v>
      </c>
      <c r="F188" s="3" t="s">
        <v>1472</v>
      </c>
      <c r="G188" s="3" t="str">
        <f t="shared" si="11"/>
        <v>0x00BC</v>
      </c>
      <c r="H188" s="3" t="s">
        <v>1483</v>
      </c>
      <c r="I188" s="3" t="str">
        <f t="shared" si="12"/>
        <v/>
      </c>
      <c r="J188" s="5" t="s">
        <v>1482</v>
      </c>
      <c r="K188" s="2" t="str">
        <f t="shared" si="13"/>
        <v/>
      </c>
    </row>
    <row r="189" spans="1:11" x14ac:dyDescent="0.25">
      <c r="A189" s="2" t="s">
        <v>374</v>
      </c>
      <c r="B189" s="2" t="s">
        <v>375</v>
      </c>
      <c r="D189" s="4" t="s">
        <v>1484</v>
      </c>
      <c r="E189" s="3" t="str">
        <f t="shared" si="10"/>
        <v xml:space="preserve">KC_BRIGHTNESS_UP                             </v>
      </c>
      <c r="F189" s="3" t="s">
        <v>1472</v>
      </c>
      <c r="G189" s="3" t="str">
        <f t="shared" si="11"/>
        <v>0x00BD</v>
      </c>
      <c r="H189" s="3" t="s">
        <v>1483</v>
      </c>
      <c r="I189" s="3" t="str">
        <f t="shared" si="12"/>
        <v/>
      </c>
      <c r="J189" s="5" t="s">
        <v>1482</v>
      </c>
      <c r="K189" s="2" t="str">
        <f t="shared" si="13"/>
        <v/>
      </c>
    </row>
    <row r="190" spans="1:11" x14ac:dyDescent="0.25">
      <c r="A190" s="2" t="s">
        <v>376</v>
      </c>
      <c r="B190" s="2" t="s">
        <v>377</v>
      </c>
      <c r="D190" s="4" t="s">
        <v>1484</v>
      </c>
      <c r="E190" s="3" t="str">
        <f t="shared" si="10"/>
        <v xml:space="preserve">KC_BRIGHTNESS_DOWN                           </v>
      </c>
      <c r="F190" s="3" t="s">
        <v>1472</v>
      </c>
      <c r="G190" s="3" t="str">
        <f t="shared" si="11"/>
        <v>0x00BE</v>
      </c>
      <c r="H190" s="3" t="s">
        <v>1483</v>
      </c>
      <c r="I190" s="3" t="str">
        <f t="shared" si="12"/>
        <v/>
      </c>
      <c r="J190" s="5" t="s">
        <v>1482</v>
      </c>
      <c r="K190" s="2" t="str">
        <f t="shared" si="13"/>
        <v/>
      </c>
    </row>
    <row r="191" spans="1:11" x14ac:dyDescent="0.25">
      <c r="A191" s="2" t="s">
        <v>378</v>
      </c>
      <c r="B191" s="2" t="s">
        <v>379</v>
      </c>
      <c r="D191" s="4" t="s">
        <v>1484</v>
      </c>
      <c r="E191" s="3" t="str">
        <f t="shared" si="10"/>
        <v xml:space="preserve">KC_CONTROL_PANEL                             </v>
      </c>
      <c r="F191" s="3" t="s">
        <v>1472</v>
      </c>
      <c r="G191" s="3" t="str">
        <f t="shared" si="11"/>
        <v>0x00BF</v>
      </c>
      <c r="H191" s="3" t="s">
        <v>1483</v>
      </c>
      <c r="I191" s="3" t="str">
        <f t="shared" si="12"/>
        <v/>
      </c>
      <c r="J191" s="5" t="s">
        <v>1482</v>
      </c>
      <c r="K191" s="2" t="str">
        <f t="shared" si="13"/>
        <v/>
      </c>
    </row>
    <row r="192" spans="1:11" x14ac:dyDescent="0.25">
      <c r="A192" s="2" t="s">
        <v>380</v>
      </c>
      <c r="B192" s="2" t="s">
        <v>381</v>
      </c>
      <c r="D192" s="4" t="s">
        <v>1484</v>
      </c>
      <c r="E192" s="3" t="str">
        <f t="shared" si="10"/>
        <v xml:space="preserve">KC_ASSISTANT                                 </v>
      </c>
      <c r="F192" s="3" t="s">
        <v>1472</v>
      </c>
      <c r="G192" s="3" t="str">
        <f t="shared" si="11"/>
        <v>0x00C0</v>
      </c>
      <c r="H192" s="3" t="s">
        <v>1483</v>
      </c>
      <c r="I192" s="3" t="str">
        <f t="shared" si="12"/>
        <v/>
      </c>
      <c r="J192" s="5" t="s">
        <v>1482</v>
      </c>
      <c r="K192" s="2" t="str">
        <f t="shared" si="13"/>
        <v/>
      </c>
    </row>
    <row r="193" spans="1:11" x14ac:dyDescent="0.25">
      <c r="A193" s="2" t="s">
        <v>382</v>
      </c>
      <c r="B193" s="2" t="s">
        <v>383</v>
      </c>
      <c r="D193" s="4" t="s">
        <v>1484</v>
      </c>
      <c r="E193" s="3" t="str">
        <f t="shared" si="10"/>
        <v xml:space="preserve">KC_MISSION_CONTROL                           </v>
      </c>
      <c r="F193" s="3" t="s">
        <v>1472</v>
      </c>
      <c r="G193" s="3" t="str">
        <f t="shared" si="11"/>
        <v>0x00C1</v>
      </c>
      <c r="H193" s="3" t="s">
        <v>1483</v>
      </c>
      <c r="I193" s="3" t="str">
        <f t="shared" si="12"/>
        <v/>
      </c>
      <c r="J193" s="5" t="s">
        <v>1482</v>
      </c>
      <c r="K193" s="2" t="str">
        <f t="shared" si="13"/>
        <v/>
      </c>
    </row>
    <row r="194" spans="1:11" x14ac:dyDescent="0.25">
      <c r="A194" s="2" t="s">
        <v>384</v>
      </c>
      <c r="B194" s="2" t="s">
        <v>385</v>
      </c>
      <c r="D194" s="4" t="s">
        <v>1484</v>
      </c>
      <c r="E194" s="3" t="str">
        <f t="shared" si="10"/>
        <v xml:space="preserve">KC_LAUNCHPAD                                 </v>
      </c>
      <c r="F194" s="3" t="s">
        <v>1472</v>
      </c>
      <c r="G194" s="3" t="str">
        <f t="shared" si="11"/>
        <v>0x00C2</v>
      </c>
      <c r="H194" s="3" t="s">
        <v>1483</v>
      </c>
      <c r="I194" s="3" t="str">
        <f t="shared" si="12"/>
        <v/>
      </c>
      <c r="J194" s="5" t="s">
        <v>1482</v>
      </c>
      <c r="K194" s="2" t="str">
        <f t="shared" si="13"/>
        <v/>
      </c>
    </row>
    <row r="195" spans="1:11" x14ac:dyDescent="0.25">
      <c r="A195" s="2" t="s">
        <v>386</v>
      </c>
      <c r="B195" s="2" t="s">
        <v>387</v>
      </c>
      <c r="C195" s="3" t="s">
        <v>1628</v>
      </c>
      <c r="D195" s="4" t="s">
        <v>1484</v>
      </c>
      <c r="E195" s="3" t="str">
        <f t="shared" ref="E195:E258" si="14">LEFT(A195 &amp; REPT(" ",$E$1),$E$1)</f>
        <v xml:space="preserve">QK_MOUSE_CURSOR_UP                           </v>
      </c>
      <c r="F195" s="3" t="s">
        <v>1472</v>
      </c>
      <c r="G195" s="3" t="str">
        <f t="shared" ref="G195:G258" si="15">B195</f>
        <v>0x00CD</v>
      </c>
      <c r="H195" s="3" t="s">
        <v>1483</v>
      </c>
      <c r="I195" s="3" t="str">
        <f t="shared" ref="I195:I258" si="16">IF(C195="","",C195)</f>
        <v>UP</v>
      </c>
      <c r="J195" s="5" t="s">
        <v>1482</v>
      </c>
      <c r="K195" s="2" t="str">
        <f t="shared" ref="K195:K258" si="17">IF(I195="","",_xlfn.CONCAT(D195:J195))</f>
        <v xml:space="preserve">    X (  QK_MOUSE_CURSOR_UP                           , 0x00CD,    "UP"     ) \</v>
      </c>
    </row>
    <row r="196" spans="1:11" x14ac:dyDescent="0.25">
      <c r="A196" s="2" t="s">
        <v>388</v>
      </c>
      <c r="B196" s="2" t="s">
        <v>389</v>
      </c>
      <c r="C196" s="3" t="s">
        <v>1629</v>
      </c>
      <c r="D196" s="4" t="s">
        <v>1484</v>
      </c>
      <c r="E196" s="3" t="str">
        <f t="shared" si="14"/>
        <v xml:space="preserve">QK_MOUSE_CURSOR_DOWN                         </v>
      </c>
      <c r="F196" s="3" t="s">
        <v>1472</v>
      </c>
      <c r="G196" s="3" t="str">
        <f t="shared" si="15"/>
        <v>0x00CE</v>
      </c>
      <c r="H196" s="3" t="s">
        <v>1483</v>
      </c>
      <c r="I196" s="3" t="str">
        <f t="shared" si="16"/>
        <v>DOWN</v>
      </c>
      <c r="J196" s="5" t="s">
        <v>1482</v>
      </c>
      <c r="K196" s="2" t="str">
        <f t="shared" si="17"/>
        <v xml:space="preserve">    X (  QK_MOUSE_CURSOR_DOWN                         , 0x00CE,    "DOWN"     ) \</v>
      </c>
    </row>
    <row r="197" spans="1:11" x14ac:dyDescent="0.25">
      <c r="A197" s="2" t="s">
        <v>390</v>
      </c>
      <c r="B197" s="2" t="s">
        <v>391</v>
      </c>
      <c r="C197" s="3" t="s">
        <v>1630</v>
      </c>
      <c r="D197" s="4" t="s">
        <v>1484</v>
      </c>
      <c r="E197" s="3" t="str">
        <f t="shared" si="14"/>
        <v xml:space="preserve">QK_MOUSE_CURSOR_LEFT                         </v>
      </c>
      <c r="F197" s="3" t="s">
        <v>1472</v>
      </c>
      <c r="G197" s="3" t="str">
        <f t="shared" si="15"/>
        <v>0x00CF</v>
      </c>
      <c r="H197" s="3" t="s">
        <v>1483</v>
      </c>
      <c r="I197" s="3" t="str">
        <f t="shared" si="16"/>
        <v>LEFT</v>
      </c>
      <c r="J197" s="5" t="s">
        <v>1482</v>
      </c>
      <c r="K197" s="2" t="str">
        <f t="shared" si="17"/>
        <v xml:space="preserve">    X (  QK_MOUSE_CURSOR_LEFT                         , 0x00CF,    "LEFT"     ) \</v>
      </c>
    </row>
    <row r="198" spans="1:11" x14ac:dyDescent="0.25">
      <c r="A198" s="2" t="s">
        <v>392</v>
      </c>
      <c r="B198" s="2" t="s">
        <v>393</v>
      </c>
      <c r="C198" s="3" t="s">
        <v>1631</v>
      </c>
      <c r="D198" s="4" t="s">
        <v>1484</v>
      </c>
      <c r="E198" s="3" t="str">
        <f t="shared" si="14"/>
        <v xml:space="preserve">QK_MOUSE_CURSOR_RIGHT                        </v>
      </c>
      <c r="F198" s="3" t="s">
        <v>1472</v>
      </c>
      <c r="G198" s="3" t="str">
        <f t="shared" si="15"/>
        <v>0x00D0</v>
      </c>
      <c r="H198" s="3" t="s">
        <v>1483</v>
      </c>
      <c r="I198" s="3" t="str">
        <f t="shared" si="16"/>
        <v>RIGHT</v>
      </c>
      <c r="J198" s="5" t="s">
        <v>1482</v>
      </c>
      <c r="K198" s="2" t="str">
        <f t="shared" si="17"/>
        <v xml:space="preserve">    X (  QK_MOUSE_CURSOR_RIGHT                        , 0x00D0,    "RIGHT"     ) \</v>
      </c>
    </row>
    <row r="199" spans="1:11" x14ac:dyDescent="0.25">
      <c r="A199" s="2" t="s">
        <v>394</v>
      </c>
      <c r="B199" s="2" t="s">
        <v>395</v>
      </c>
      <c r="C199" s="3" t="s">
        <v>1596</v>
      </c>
      <c r="D199" s="4" t="s">
        <v>1484</v>
      </c>
      <c r="E199" s="3" t="str">
        <f t="shared" si="14"/>
        <v xml:space="preserve">QK_MOUSE_BUTTON_1                            </v>
      </c>
      <c r="F199" s="3" t="s">
        <v>1472</v>
      </c>
      <c r="G199" s="3" t="str">
        <f t="shared" si="15"/>
        <v>0x00D1</v>
      </c>
      <c r="H199" s="3" t="s">
        <v>1483</v>
      </c>
      <c r="I199" s="3" t="str">
        <f t="shared" si="16"/>
        <v>L</v>
      </c>
      <c r="J199" s="5" t="s">
        <v>1482</v>
      </c>
      <c r="K199" s="2" t="str">
        <f t="shared" si="17"/>
        <v xml:space="preserve">    X (  QK_MOUSE_BUTTON_1                            , 0x00D1,    "L"     ) \</v>
      </c>
    </row>
    <row r="200" spans="1:11" x14ac:dyDescent="0.25">
      <c r="A200" s="2" t="s">
        <v>396</v>
      </c>
      <c r="B200" s="2" t="s">
        <v>397</v>
      </c>
      <c r="C200" s="3" t="s">
        <v>1597</v>
      </c>
      <c r="D200" s="4" t="s">
        <v>1484</v>
      </c>
      <c r="E200" s="3" t="str">
        <f t="shared" si="14"/>
        <v xml:space="preserve">QK_MOUSE_BUTTON_2                            </v>
      </c>
      <c r="F200" s="3" t="s">
        <v>1472</v>
      </c>
      <c r="G200" s="3" t="str">
        <f t="shared" si="15"/>
        <v>0x00D2</v>
      </c>
      <c r="H200" s="3" t="s">
        <v>1483</v>
      </c>
      <c r="I200" s="3" t="str">
        <f t="shared" si="16"/>
        <v>R</v>
      </c>
      <c r="J200" s="5" t="s">
        <v>1482</v>
      </c>
      <c r="K200" s="2" t="str">
        <f t="shared" si="17"/>
        <v xml:space="preserve">    X (  QK_MOUSE_BUTTON_2                            , 0x00D2,    "R"     ) \</v>
      </c>
    </row>
    <row r="201" spans="1:11" x14ac:dyDescent="0.25">
      <c r="A201" s="2" t="s">
        <v>398</v>
      </c>
      <c r="B201" s="2" t="s">
        <v>399</v>
      </c>
      <c r="D201" s="4" t="s">
        <v>1484</v>
      </c>
      <c r="E201" s="3" t="str">
        <f t="shared" si="14"/>
        <v xml:space="preserve">QK_MOUSE_BUTTON_3                            </v>
      </c>
      <c r="F201" s="3" t="s">
        <v>1472</v>
      </c>
      <c r="G201" s="3" t="str">
        <f t="shared" si="15"/>
        <v>0x00D3</v>
      </c>
      <c r="H201" s="3" t="s">
        <v>1483</v>
      </c>
      <c r="I201" s="3" t="str">
        <f t="shared" si="16"/>
        <v/>
      </c>
      <c r="J201" s="5" t="s">
        <v>1482</v>
      </c>
      <c r="K201" s="2" t="str">
        <f t="shared" si="17"/>
        <v/>
      </c>
    </row>
    <row r="202" spans="1:11" x14ac:dyDescent="0.25">
      <c r="A202" s="2" t="s">
        <v>400</v>
      </c>
      <c r="B202" s="2" t="s">
        <v>401</v>
      </c>
      <c r="D202" s="4" t="s">
        <v>1484</v>
      </c>
      <c r="E202" s="3" t="str">
        <f t="shared" si="14"/>
        <v xml:space="preserve">QK_MOUSE_BUTTON_4                            </v>
      </c>
      <c r="F202" s="3" t="s">
        <v>1472</v>
      </c>
      <c r="G202" s="3" t="str">
        <f t="shared" si="15"/>
        <v>0x00D4</v>
      </c>
      <c r="H202" s="3" t="s">
        <v>1483</v>
      </c>
      <c r="I202" s="3" t="str">
        <f t="shared" si="16"/>
        <v/>
      </c>
      <c r="J202" s="5" t="s">
        <v>1482</v>
      </c>
      <c r="K202" s="2" t="str">
        <f t="shared" si="17"/>
        <v/>
      </c>
    </row>
    <row r="203" spans="1:11" x14ac:dyDescent="0.25">
      <c r="A203" s="2" t="s">
        <v>402</v>
      </c>
      <c r="B203" s="2" t="s">
        <v>403</v>
      </c>
      <c r="D203" s="4" t="s">
        <v>1484</v>
      </c>
      <c r="E203" s="3" t="str">
        <f t="shared" si="14"/>
        <v xml:space="preserve">QK_MOUSE_BUTTON_5                            </v>
      </c>
      <c r="F203" s="3" t="s">
        <v>1472</v>
      </c>
      <c r="G203" s="3" t="str">
        <f t="shared" si="15"/>
        <v>0x00D5</v>
      </c>
      <c r="H203" s="3" t="s">
        <v>1483</v>
      </c>
      <c r="I203" s="3" t="str">
        <f t="shared" si="16"/>
        <v/>
      </c>
      <c r="J203" s="5" t="s">
        <v>1482</v>
      </c>
      <c r="K203" s="2" t="str">
        <f t="shared" si="17"/>
        <v/>
      </c>
    </row>
    <row r="204" spans="1:11" x14ac:dyDescent="0.25">
      <c r="A204" s="2" t="s">
        <v>404</v>
      </c>
      <c r="B204" s="2" t="s">
        <v>405</v>
      </c>
      <c r="C204" s="3" t="s">
        <v>1632</v>
      </c>
      <c r="D204" s="4" t="s">
        <v>1484</v>
      </c>
      <c r="E204" s="3" t="str">
        <f t="shared" si="14"/>
        <v xml:space="preserve">QK_MOUSE_BUTTON_6                            </v>
      </c>
      <c r="F204" s="3" t="s">
        <v>1472</v>
      </c>
      <c r="G204" s="3" t="str">
        <f t="shared" si="15"/>
        <v>0x00D6</v>
      </c>
      <c r="H204" s="3" t="s">
        <v>1483</v>
      </c>
      <c r="I204" s="3" t="str">
        <f t="shared" si="16"/>
        <v>Bt1</v>
      </c>
      <c r="J204" s="5" t="s">
        <v>1482</v>
      </c>
      <c r="K204" s="2" t="str">
        <f t="shared" si="17"/>
        <v xml:space="preserve">    X (  QK_MOUSE_BUTTON_6                            , 0x00D6,    "Bt1"     ) \</v>
      </c>
    </row>
    <row r="205" spans="1:11" x14ac:dyDescent="0.25">
      <c r="A205" s="2" t="s">
        <v>406</v>
      </c>
      <c r="B205" s="2" t="s">
        <v>407</v>
      </c>
      <c r="C205" s="3" t="s">
        <v>1633</v>
      </c>
      <c r="D205" s="4" t="s">
        <v>1484</v>
      </c>
      <c r="E205" s="3" t="str">
        <f t="shared" si="14"/>
        <v xml:space="preserve">QK_MOUSE_BUTTON_7                            </v>
      </c>
      <c r="F205" s="3" t="s">
        <v>1472</v>
      </c>
      <c r="G205" s="3" t="str">
        <f t="shared" si="15"/>
        <v>0x00D7</v>
      </c>
      <c r="H205" s="3" t="s">
        <v>1483</v>
      </c>
      <c r="I205" s="3" t="str">
        <f t="shared" si="16"/>
        <v>Bt2</v>
      </c>
      <c r="J205" s="5" t="s">
        <v>1482</v>
      </c>
      <c r="K205" s="2" t="str">
        <f t="shared" si="17"/>
        <v xml:space="preserve">    X (  QK_MOUSE_BUTTON_7                            , 0x00D7,    "Bt2"     ) \</v>
      </c>
    </row>
    <row r="206" spans="1:11" x14ac:dyDescent="0.25">
      <c r="A206" s="2" t="s">
        <v>408</v>
      </c>
      <c r="B206" s="2" t="s">
        <v>409</v>
      </c>
      <c r="C206" s="3" t="s">
        <v>1634</v>
      </c>
      <c r="D206" s="4" t="s">
        <v>1484</v>
      </c>
      <c r="E206" s="3" t="str">
        <f t="shared" si="14"/>
        <v xml:space="preserve">QK_MOUSE_BUTTON_8                            </v>
      </c>
      <c r="F206" s="3" t="s">
        <v>1472</v>
      </c>
      <c r="G206" s="3" t="str">
        <f t="shared" si="15"/>
        <v>0x00D8</v>
      </c>
      <c r="H206" s="3" t="s">
        <v>1483</v>
      </c>
      <c r="I206" s="3" t="str">
        <f t="shared" si="16"/>
        <v>Bt3</v>
      </c>
      <c r="J206" s="5" t="s">
        <v>1482</v>
      </c>
      <c r="K206" s="2" t="str">
        <f t="shared" si="17"/>
        <v xml:space="preserve">    X (  QK_MOUSE_BUTTON_8                            , 0x00D8,    "Bt3"     ) \</v>
      </c>
    </row>
    <row r="207" spans="1:11" x14ac:dyDescent="0.25">
      <c r="A207" s="2" t="s">
        <v>410</v>
      </c>
      <c r="B207" s="2" t="s">
        <v>411</v>
      </c>
      <c r="C207" s="3" t="s">
        <v>1598</v>
      </c>
      <c r="D207" s="4" t="s">
        <v>1484</v>
      </c>
      <c r="E207" s="3" t="str">
        <f t="shared" si="14"/>
        <v xml:space="preserve">QK_MOUSE_WHEEL_UP                            </v>
      </c>
      <c r="F207" s="3" t="s">
        <v>1472</v>
      </c>
      <c r="G207" s="3" t="str">
        <f t="shared" si="15"/>
        <v>0x00D9</v>
      </c>
      <c r="H207" s="3" t="s">
        <v>1483</v>
      </c>
      <c r="I207" s="3" t="str">
        <f t="shared" si="16"/>
        <v>W^</v>
      </c>
      <c r="J207" s="5" t="s">
        <v>1482</v>
      </c>
      <c r="K207" s="2" t="str">
        <f t="shared" si="17"/>
        <v xml:space="preserve">    X (  QK_MOUSE_WHEEL_UP                            , 0x00D9,    "W^"     ) \</v>
      </c>
    </row>
    <row r="208" spans="1:11" x14ac:dyDescent="0.25">
      <c r="A208" s="2" t="s">
        <v>412</v>
      </c>
      <c r="B208" s="2" t="s">
        <v>413</v>
      </c>
      <c r="C208" s="3" t="s">
        <v>1599</v>
      </c>
      <c r="D208" s="4" t="s">
        <v>1484</v>
      </c>
      <c r="E208" s="3" t="str">
        <f t="shared" si="14"/>
        <v xml:space="preserve">QK_MOUSE_WHEEL_DOWN                          </v>
      </c>
      <c r="F208" s="3" t="s">
        <v>1472</v>
      </c>
      <c r="G208" s="3" t="str">
        <f t="shared" si="15"/>
        <v>0x00DA</v>
      </c>
      <c r="H208" s="3" t="s">
        <v>1483</v>
      </c>
      <c r="I208" s="3" t="str">
        <f t="shared" si="16"/>
        <v>Wv</v>
      </c>
      <c r="J208" s="5" t="s">
        <v>1482</v>
      </c>
      <c r="K208" s="2" t="str">
        <f t="shared" si="17"/>
        <v xml:space="preserve">    X (  QK_MOUSE_WHEEL_DOWN                          , 0x00DA,    "Wv"     ) \</v>
      </c>
    </row>
    <row r="209" spans="1:11" x14ac:dyDescent="0.25">
      <c r="A209" s="2" t="s">
        <v>414</v>
      </c>
      <c r="B209" s="2" t="s">
        <v>415</v>
      </c>
      <c r="C209" s="3" t="s">
        <v>1600</v>
      </c>
      <c r="D209" s="4" t="s">
        <v>1484</v>
      </c>
      <c r="E209" s="3" t="str">
        <f t="shared" si="14"/>
        <v xml:space="preserve">QK_MOUSE_WHEEL_LEFT                          </v>
      </c>
      <c r="F209" s="3" t="s">
        <v>1472</v>
      </c>
      <c r="G209" s="3" t="str">
        <f t="shared" si="15"/>
        <v>0x00DB</v>
      </c>
      <c r="H209" s="3" t="s">
        <v>1483</v>
      </c>
      <c r="I209" s="3" t="str">
        <f t="shared" si="16"/>
        <v>&lt;W</v>
      </c>
      <c r="J209" s="5" t="s">
        <v>1482</v>
      </c>
      <c r="K209" s="2" t="str">
        <f t="shared" si="17"/>
        <v xml:space="preserve">    X (  QK_MOUSE_WHEEL_LEFT                          , 0x00DB,    "&lt;W"     ) \</v>
      </c>
    </row>
    <row r="210" spans="1:11" x14ac:dyDescent="0.25">
      <c r="A210" s="2" t="s">
        <v>416</v>
      </c>
      <c r="B210" s="2" t="s">
        <v>417</v>
      </c>
      <c r="C210" s="3" t="s">
        <v>1601</v>
      </c>
      <c r="D210" s="4" t="s">
        <v>1484</v>
      </c>
      <c r="E210" s="3" t="str">
        <f t="shared" si="14"/>
        <v xml:space="preserve">QK_MOUSE_WHEEL_RIGHT                         </v>
      </c>
      <c r="F210" s="3" t="s">
        <v>1472</v>
      </c>
      <c r="G210" s="3" t="str">
        <f t="shared" si="15"/>
        <v>0x00DC</v>
      </c>
      <c r="H210" s="3" t="s">
        <v>1483</v>
      </c>
      <c r="I210" s="3" t="str">
        <f t="shared" si="16"/>
        <v>W&gt;</v>
      </c>
      <c r="J210" s="5" t="s">
        <v>1482</v>
      </c>
      <c r="K210" s="2" t="str">
        <f t="shared" si="17"/>
        <v xml:space="preserve">    X (  QK_MOUSE_WHEEL_RIGHT                         , 0x00DC,    "W&gt;"     ) \</v>
      </c>
    </row>
    <row r="211" spans="1:11" x14ac:dyDescent="0.25">
      <c r="A211" s="2" t="s">
        <v>418</v>
      </c>
      <c r="B211" s="2" t="s">
        <v>419</v>
      </c>
      <c r="D211" s="4" t="s">
        <v>1484</v>
      </c>
      <c r="E211" s="3" t="str">
        <f t="shared" si="14"/>
        <v xml:space="preserve">QK_MOUSE_ACCELERATION_0                      </v>
      </c>
      <c r="F211" s="3" t="s">
        <v>1472</v>
      </c>
      <c r="G211" s="3" t="str">
        <f t="shared" si="15"/>
        <v>0x00DD</v>
      </c>
      <c r="H211" s="3" t="s">
        <v>1483</v>
      </c>
      <c r="I211" s="3" t="str">
        <f t="shared" si="16"/>
        <v/>
      </c>
      <c r="J211" s="5" t="s">
        <v>1482</v>
      </c>
      <c r="K211" s="2" t="str">
        <f t="shared" si="17"/>
        <v/>
      </c>
    </row>
    <row r="212" spans="1:11" x14ac:dyDescent="0.25">
      <c r="A212" s="2" t="s">
        <v>420</v>
      </c>
      <c r="B212" s="2" t="s">
        <v>421</v>
      </c>
      <c r="D212" s="4" t="s">
        <v>1484</v>
      </c>
      <c r="E212" s="3" t="str">
        <f t="shared" si="14"/>
        <v xml:space="preserve">QK_MOUSE_ACCELERATION_1                      </v>
      </c>
      <c r="F212" s="3" t="s">
        <v>1472</v>
      </c>
      <c r="G212" s="3" t="str">
        <f t="shared" si="15"/>
        <v>0x00DE</v>
      </c>
      <c r="H212" s="3" t="s">
        <v>1483</v>
      </c>
      <c r="I212" s="3" t="str">
        <f t="shared" si="16"/>
        <v/>
      </c>
      <c r="J212" s="5" t="s">
        <v>1482</v>
      </c>
      <c r="K212" s="2" t="str">
        <f t="shared" si="17"/>
        <v/>
      </c>
    </row>
    <row r="213" spans="1:11" x14ac:dyDescent="0.25">
      <c r="A213" s="2" t="s">
        <v>422</v>
      </c>
      <c r="B213" s="2" t="s">
        <v>423</v>
      </c>
      <c r="D213" s="4" t="s">
        <v>1484</v>
      </c>
      <c r="E213" s="3" t="str">
        <f t="shared" si="14"/>
        <v xml:space="preserve">QK_MOUSE_ACCELERATION_2                      </v>
      </c>
      <c r="F213" s="3" t="s">
        <v>1472</v>
      </c>
      <c r="G213" s="3" t="str">
        <f t="shared" si="15"/>
        <v>0x00DF</v>
      </c>
      <c r="H213" s="3" t="s">
        <v>1483</v>
      </c>
      <c r="I213" s="3" t="str">
        <f t="shared" si="16"/>
        <v/>
      </c>
      <c r="J213" s="5" t="s">
        <v>1482</v>
      </c>
      <c r="K213" s="2" t="str">
        <f t="shared" si="17"/>
        <v/>
      </c>
    </row>
    <row r="214" spans="1:11" x14ac:dyDescent="0.25">
      <c r="A214" s="2" t="s">
        <v>424</v>
      </c>
      <c r="B214" s="2" t="s">
        <v>425</v>
      </c>
      <c r="C214" s="3" t="s">
        <v>1583</v>
      </c>
      <c r="D214" s="4" t="s">
        <v>1484</v>
      </c>
      <c r="E214" s="3" t="str">
        <f t="shared" si="14"/>
        <v xml:space="preserve">KC_LEFT_CTRL                                 </v>
      </c>
      <c r="F214" s="3" t="s">
        <v>1472</v>
      </c>
      <c r="G214" s="3" t="str">
        <f t="shared" si="15"/>
        <v>0x00E0</v>
      </c>
      <c r="H214" s="3" t="s">
        <v>1483</v>
      </c>
      <c r="I214" s="3" t="str">
        <f t="shared" si="16"/>
        <v>Cmd</v>
      </c>
      <c r="J214" s="5" t="s">
        <v>1482</v>
      </c>
      <c r="K214" s="2" t="str">
        <f t="shared" si="17"/>
        <v xml:space="preserve">    X (  KC_LEFT_CTRL                                 , 0x00E0,    "Cmd"     ) \</v>
      </c>
    </row>
    <row r="215" spans="1:11" x14ac:dyDescent="0.25">
      <c r="A215" s="2" t="s">
        <v>426</v>
      </c>
      <c r="B215" s="2" t="s">
        <v>427</v>
      </c>
      <c r="C215" s="3" t="s">
        <v>1635</v>
      </c>
      <c r="D215" s="4" t="s">
        <v>1484</v>
      </c>
      <c r="E215" s="3" t="str">
        <f t="shared" si="14"/>
        <v xml:space="preserve">KC_LEFT_SHIFT                                </v>
      </c>
      <c r="F215" s="3" t="s">
        <v>1472</v>
      </c>
      <c r="G215" s="3" t="str">
        <f t="shared" si="15"/>
        <v>0x00E1</v>
      </c>
      <c r="H215" s="3" t="s">
        <v>1483</v>
      </c>
      <c r="I215" s="3" t="str">
        <f t="shared" si="16"/>
        <v>Shift</v>
      </c>
      <c r="J215" s="5" t="s">
        <v>1482</v>
      </c>
      <c r="K215" s="2" t="str">
        <f t="shared" si="17"/>
        <v xml:space="preserve">    X (  KC_LEFT_SHIFT                                , 0x00E1,    "Shift"     ) \</v>
      </c>
    </row>
    <row r="216" spans="1:11" x14ac:dyDescent="0.25">
      <c r="A216" s="2" t="s">
        <v>428</v>
      </c>
      <c r="B216" s="2" t="s">
        <v>429</v>
      </c>
      <c r="C216" s="3" t="s">
        <v>1584</v>
      </c>
      <c r="D216" s="4" t="s">
        <v>1484</v>
      </c>
      <c r="E216" s="3" t="str">
        <f t="shared" si="14"/>
        <v xml:space="preserve">KC_LEFT_ALT                                  </v>
      </c>
      <c r="F216" s="3" t="s">
        <v>1472</v>
      </c>
      <c r="G216" s="3" t="str">
        <f t="shared" si="15"/>
        <v>0x00E2</v>
      </c>
      <c r="H216" s="3" t="s">
        <v>1483</v>
      </c>
      <c r="I216" s="3" t="str">
        <f t="shared" si="16"/>
        <v>Alt</v>
      </c>
      <c r="J216" s="5" t="s">
        <v>1482</v>
      </c>
      <c r="K216" s="2" t="str">
        <f t="shared" si="17"/>
        <v xml:space="preserve">    X (  KC_LEFT_ALT                                  , 0x00E2,    "Alt"     ) \</v>
      </c>
    </row>
    <row r="217" spans="1:11" x14ac:dyDescent="0.25">
      <c r="A217" s="2" t="s">
        <v>430</v>
      </c>
      <c r="B217" s="2" t="s">
        <v>431</v>
      </c>
      <c r="C217" s="3" t="s">
        <v>1585</v>
      </c>
      <c r="D217" s="4" t="s">
        <v>1484</v>
      </c>
      <c r="E217" s="3" t="str">
        <f t="shared" si="14"/>
        <v xml:space="preserve">KC_LEFT_GUI                                  </v>
      </c>
      <c r="F217" s="3" t="s">
        <v>1472</v>
      </c>
      <c r="G217" s="3" t="str">
        <f t="shared" si="15"/>
        <v>0x00E3</v>
      </c>
      <c r="H217" s="3" t="s">
        <v>1483</v>
      </c>
      <c r="I217" s="3" t="str">
        <f t="shared" si="16"/>
        <v>Win</v>
      </c>
      <c r="J217" s="5" t="s">
        <v>1482</v>
      </c>
      <c r="K217" s="2" t="str">
        <f t="shared" si="17"/>
        <v xml:space="preserve">    X (  KC_LEFT_GUI                                  , 0x00E3,    "Win"     ) \</v>
      </c>
    </row>
    <row r="218" spans="1:11" x14ac:dyDescent="0.25">
      <c r="A218" s="2" t="s">
        <v>432</v>
      </c>
      <c r="B218" s="2" t="s">
        <v>433</v>
      </c>
      <c r="C218" s="3" t="s">
        <v>1583</v>
      </c>
      <c r="D218" s="4" t="s">
        <v>1484</v>
      </c>
      <c r="E218" s="3" t="str">
        <f t="shared" si="14"/>
        <v xml:space="preserve">KC_RIGHT_CTRL                                </v>
      </c>
      <c r="F218" s="3" t="s">
        <v>1472</v>
      </c>
      <c r="G218" s="3" t="str">
        <f t="shared" si="15"/>
        <v>0x00E4</v>
      </c>
      <c r="H218" s="3" t="s">
        <v>1483</v>
      </c>
      <c r="I218" s="3" t="str">
        <f t="shared" si="16"/>
        <v>Cmd</v>
      </c>
      <c r="J218" s="5" t="s">
        <v>1482</v>
      </c>
      <c r="K218" s="2" t="str">
        <f t="shared" si="17"/>
        <v xml:space="preserve">    X (  KC_RIGHT_CTRL                                , 0x00E4,    "Cmd"     ) \</v>
      </c>
    </row>
    <row r="219" spans="1:11" x14ac:dyDescent="0.25">
      <c r="A219" s="2" t="s">
        <v>434</v>
      </c>
      <c r="B219" s="2" t="s">
        <v>435</v>
      </c>
      <c r="C219" s="3" t="s">
        <v>1635</v>
      </c>
      <c r="D219" s="4" t="s">
        <v>1484</v>
      </c>
      <c r="E219" s="3" t="str">
        <f t="shared" si="14"/>
        <v xml:space="preserve">KC_RIGHT_SHIFT                               </v>
      </c>
      <c r="F219" s="3" t="s">
        <v>1472</v>
      </c>
      <c r="G219" s="3" t="str">
        <f t="shared" si="15"/>
        <v>0x00E5</v>
      </c>
      <c r="H219" s="3" t="s">
        <v>1483</v>
      </c>
      <c r="I219" s="3" t="str">
        <f t="shared" si="16"/>
        <v>Shift</v>
      </c>
      <c r="J219" s="5" t="s">
        <v>1482</v>
      </c>
      <c r="K219" s="2" t="str">
        <f t="shared" si="17"/>
        <v xml:space="preserve">    X (  KC_RIGHT_SHIFT                               , 0x00E5,    "Shift"     ) \</v>
      </c>
    </row>
    <row r="220" spans="1:11" x14ac:dyDescent="0.25">
      <c r="A220" s="2" t="s">
        <v>436</v>
      </c>
      <c r="B220" s="2" t="s">
        <v>437</v>
      </c>
      <c r="C220" s="3" t="s">
        <v>1584</v>
      </c>
      <c r="D220" s="4" t="s">
        <v>1484</v>
      </c>
      <c r="E220" s="3" t="str">
        <f t="shared" si="14"/>
        <v xml:space="preserve">KC_RIGHT_ALT                                 </v>
      </c>
      <c r="F220" s="3" t="s">
        <v>1472</v>
      </c>
      <c r="G220" s="3" t="str">
        <f t="shared" si="15"/>
        <v>0x00E6</v>
      </c>
      <c r="H220" s="3" t="s">
        <v>1483</v>
      </c>
      <c r="I220" s="3" t="str">
        <f t="shared" si="16"/>
        <v>Alt</v>
      </c>
      <c r="J220" s="5" t="s">
        <v>1482</v>
      </c>
      <c r="K220" s="2" t="str">
        <f t="shared" si="17"/>
        <v xml:space="preserve">    X (  KC_RIGHT_ALT                                 , 0x00E6,    "Alt"     ) \</v>
      </c>
    </row>
    <row r="221" spans="1:11" x14ac:dyDescent="0.25">
      <c r="A221" s="2" t="s">
        <v>438</v>
      </c>
      <c r="B221" s="2" t="s">
        <v>439</v>
      </c>
      <c r="C221" s="3" t="s">
        <v>1585</v>
      </c>
      <c r="D221" s="4" t="s">
        <v>1484</v>
      </c>
      <c r="E221" s="3" t="str">
        <f t="shared" si="14"/>
        <v xml:space="preserve">KC_RIGHT_GUI                                 </v>
      </c>
      <c r="F221" s="3" t="s">
        <v>1472</v>
      </c>
      <c r="G221" s="3" t="str">
        <f t="shared" si="15"/>
        <v>0x00E7</v>
      </c>
      <c r="H221" s="3" t="s">
        <v>1483</v>
      </c>
      <c r="I221" s="3" t="str">
        <f t="shared" si="16"/>
        <v>Win</v>
      </c>
      <c r="J221" s="5" t="s">
        <v>1482</v>
      </c>
      <c r="K221" s="2" t="str">
        <f t="shared" si="17"/>
        <v xml:space="preserve">    X (  KC_RIGHT_GUI                                 , 0x00E7,    "Win"     ) \</v>
      </c>
    </row>
    <row r="222" spans="1:11" x14ac:dyDescent="0.25">
      <c r="A222" s="2" t="s">
        <v>440</v>
      </c>
      <c r="B222" s="2" t="s">
        <v>441</v>
      </c>
      <c r="D222" s="4" t="s">
        <v>1484</v>
      </c>
      <c r="E222" s="3" t="str">
        <f t="shared" si="14"/>
        <v xml:space="preserve">QK_SWAP_HANDS_TOGGLE                         </v>
      </c>
      <c r="F222" s="3" t="s">
        <v>1472</v>
      </c>
      <c r="G222" s="3" t="str">
        <f t="shared" si="15"/>
        <v>0x56F0</v>
      </c>
      <c r="H222" s="3" t="s">
        <v>1483</v>
      </c>
      <c r="I222" s="3" t="str">
        <f t="shared" si="16"/>
        <v/>
      </c>
      <c r="J222" s="5" t="s">
        <v>1482</v>
      </c>
      <c r="K222" s="2" t="str">
        <f t="shared" si="17"/>
        <v/>
      </c>
    </row>
    <row r="223" spans="1:11" x14ac:dyDescent="0.25">
      <c r="A223" s="2" t="s">
        <v>442</v>
      </c>
      <c r="B223" s="2" t="s">
        <v>443</v>
      </c>
      <c r="D223" s="4" t="s">
        <v>1484</v>
      </c>
      <c r="E223" s="3" t="str">
        <f t="shared" si="14"/>
        <v xml:space="preserve">QK_SWAP_HANDS_TAP_TOGGLE                     </v>
      </c>
      <c r="F223" s="3" t="s">
        <v>1472</v>
      </c>
      <c r="G223" s="3" t="str">
        <f t="shared" si="15"/>
        <v>0x56F1</v>
      </c>
      <c r="H223" s="3" t="s">
        <v>1483</v>
      </c>
      <c r="I223" s="3" t="str">
        <f t="shared" si="16"/>
        <v/>
      </c>
      <c r="J223" s="5" t="s">
        <v>1482</v>
      </c>
      <c r="K223" s="2" t="str">
        <f t="shared" si="17"/>
        <v/>
      </c>
    </row>
    <row r="224" spans="1:11" x14ac:dyDescent="0.25">
      <c r="A224" s="2" t="s">
        <v>444</v>
      </c>
      <c r="B224" s="2" t="s">
        <v>445</v>
      </c>
      <c r="D224" s="4" t="s">
        <v>1484</v>
      </c>
      <c r="E224" s="3" t="str">
        <f t="shared" si="14"/>
        <v xml:space="preserve">QK_SWAP_HANDS_MOMENTARY_ON                   </v>
      </c>
      <c r="F224" s="3" t="s">
        <v>1472</v>
      </c>
      <c r="G224" s="3" t="str">
        <f t="shared" si="15"/>
        <v>0x56F2</v>
      </c>
      <c r="H224" s="3" t="s">
        <v>1483</v>
      </c>
      <c r="I224" s="3" t="str">
        <f t="shared" si="16"/>
        <v/>
      </c>
      <c r="J224" s="5" t="s">
        <v>1482</v>
      </c>
      <c r="K224" s="2" t="str">
        <f t="shared" si="17"/>
        <v/>
      </c>
    </row>
    <row r="225" spans="1:11" x14ac:dyDescent="0.25">
      <c r="A225" s="2" t="s">
        <v>446</v>
      </c>
      <c r="B225" s="2" t="s">
        <v>447</v>
      </c>
      <c r="D225" s="4" t="s">
        <v>1484</v>
      </c>
      <c r="E225" s="3" t="str">
        <f t="shared" si="14"/>
        <v xml:space="preserve">QK_SWAP_HANDS_MOMENTARY_OFF                  </v>
      </c>
      <c r="F225" s="3" t="s">
        <v>1472</v>
      </c>
      <c r="G225" s="3" t="str">
        <f t="shared" si="15"/>
        <v>0x56F3</v>
      </c>
      <c r="H225" s="3" t="s">
        <v>1483</v>
      </c>
      <c r="I225" s="3" t="str">
        <f t="shared" si="16"/>
        <v/>
      </c>
      <c r="J225" s="5" t="s">
        <v>1482</v>
      </c>
      <c r="K225" s="2" t="str">
        <f t="shared" si="17"/>
        <v/>
      </c>
    </row>
    <row r="226" spans="1:11" x14ac:dyDescent="0.25">
      <c r="A226" s="2" t="s">
        <v>448</v>
      </c>
      <c r="B226" s="2" t="s">
        <v>449</v>
      </c>
      <c r="D226" s="4" t="s">
        <v>1484</v>
      </c>
      <c r="E226" s="3" t="str">
        <f t="shared" si="14"/>
        <v xml:space="preserve">QK_SWAP_HANDS_OFF                            </v>
      </c>
      <c r="F226" s="3" t="s">
        <v>1472</v>
      </c>
      <c r="G226" s="3" t="str">
        <f t="shared" si="15"/>
        <v>0x56F4</v>
      </c>
      <c r="H226" s="3" t="s">
        <v>1483</v>
      </c>
      <c r="I226" s="3" t="str">
        <f t="shared" si="16"/>
        <v/>
      </c>
      <c r="J226" s="5" t="s">
        <v>1482</v>
      </c>
      <c r="K226" s="2" t="str">
        <f t="shared" si="17"/>
        <v/>
      </c>
    </row>
    <row r="227" spans="1:11" x14ac:dyDescent="0.25">
      <c r="A227" s="2" t="s">
        <v>450</v>
      </c>
      <c r="B227" s="2" t="s">
        <v>451</v>
      </c>
      <c r="D227" s="4" t="s">
        <v>1484</v>
      </c>
      <c r="E227" s="3" t="str">
        <f t="shared" si="14"/>
        <v xml:space="preserve">QK_SWAP_HANDS_ON                             </v>
      </c>
      <c r="F227" s="3" t="s">
        <v>1472</v>
      </c>
      <c r="G227" s="3" t="str">
        <f t="shared" si="15"/>
        <v>0x56F5</v>
      </c>
      <c r="H227" s="3" t="s">
        <v>1483</v>
      </c>
      <c r="I227" s="3" t="str">
        <f t="shared" si="16"/>
        <v/>
      </c>
      <c r="J227" s="5" t="s">
        <v>1482</v>
      </c>
      <c r="K227" s="2" t="str">
        <f t="shared" si="17"/>
        <v/>
      </c>
    </row>
    <row r="228" spans="1:11" x14ac:dyDescent="0.25">
      <c r="A228" s="2" t="s">
        <v>452</v>
      </c>
      <c r="B228" s="2" t="s">
        <v>453</v>
      </c>
      <c r="D228" s="4" t="s">
        <v>1484</v>
      </c>
      <c r="E228" s="3" t="str">
        <f t="shared" si="14"/>
        <v xml:space="preserve">QK_SWAP_HANDS_ONE_SHOT                       </v>
      </c>
      <c r="F228" s="3" t="s">
        <v>1472</v>
      </c>
      <c r="G228" s="3" t="str">
        <f t="shared" si="15"/>
        <v>0x56F6</v>
      </c>
      <c r="H228" s="3" t="s">
        <v>1483</v>
      </c>
      <c r="I228" s="3" t="str">
        <f t="shared" si="16"/>
        <v/>
      </c>
      <c r="J228" s="5" t="s">
        <v>1482</v>
      </c>
      <c r="K228" s="2" t="str">
        <f t="shared" si="17"/>
        <v/>
      </c>
    </row>
    <row r="229" spans="1:11" x14ac:dyDescent="0.25">
      <c r="A229" s="2" t="s">
        <v>454</v>
      </c>
      <c r="B229" s="2" t="s">
        <v>455</v>
      </c>
      <c r="D229" s="4" t="s">
        <v>1484</v>
      </c>
      <c r="E229" s="3" t="str">
        <f t="shared" si="14"/>
        <v xml:space="preserve">QK_MAGIC_SWAP_CONTROL_CAPS_LOCK              </v>
      </c>
      <c r="F229" s="3" t="s">
        <v>1472</v>
      </c>
      <c r="G229" s="3" t="str">
        <f t="shared" si="15"/>
        <v>0x7000</v>
      </c>
      <c r="H229" s="3" t="s">
        <v>1483</v>
      </c>
      <c r="I229" s="3" t="str">
        <f t="shared" si="16"/>
        <v/>
      </c>
      <c r="J229" s="5" t="s">
        <v>1482</v>
      </c>
      <c r="K229" s="2" t="str">
        <f t="shared" si="17"/>
        <v/>
      </c>
    </row>
    <row r="230" spans="1:11" x14ac:dyDescent="0.25">
      <c r="A230" s="2" t="s">
        <v>456</v>
      </c>
      <c r="B230" s="2" t="s">
        <v>457</v>
      </c>
      <c r="D230" s="4" t="s">
        <v>1484</v>
      </c>
      <c r="E230" s="3" t="str">
        <f t="shared" si="14"/>
        <v xml:space="preserve">QK_MAGIC_UNSWAP_CONTROL_CAPS_LOCK            </v>
      </c>
      <c r="F230" s="3" t="s">
        <v>1472</v>
      </c>
      <c r="G230" s="3" t="str">
        <f t="shared" si="15"/>
        <v>0x7001</v>
      </c>
      <c r="H230" s="3" t="s">
        <v>1483</v>
      </c>
      <c r="I230" s="3" t="str">
        <f t="shared" si="16"/>
        <v/>
      </c>
      <c r="J230" s="5" t="s">
        <v>1482</v>
      </c>
      <c r="K230" s="2" t="str">
        <f t="shared" si="17"/>
        <v/>
      </c>
    </row>
    <row r="231" spans="1:11" x14ac:dyDescent="0.25">
      <c r="A231" s="2" t="s">
        <v>458</v>
      </c>
      <c r="B231" s="2" t="s">
        <v>459</v>
      </c>
      <c r="D231" s="4" t="s">
        <v>1484</v>
      </c>
      <c r="E231" s="3" t="str">
        <f t="shared" si="14"/>
        <v xml:space="preserve">QK_MAGIC_TOGGLE_CONTROL_CAPS_LOCK            </v>
      </c>
      <c r="F231" s="3" t="s">
        <v>1472</v>
      </c>
      <c r="G231" s="3" t="str">
        <f t="shared" si="15"/>
        <v>0x7002</v>
      </c>
      <c r="H231" s="3" t="s">
        <v>1483</v>
      </c>
      <c r="I231" s="3" t="str">
        <f t="shared" si="16"/>
        <v/>
      </c>
      <c r="J231" s="5" t="s">
        <v>1482</v>
      </c>
      <c r="K231" s="2" t="str">
        <f t="shared" si="17"/>
        <v/>
      </c>
    </row>
    <row r="232" spans="1:11" x14ac:dyDescent="0.25">
      <c r="A232" s="2" t="s">
        <v>460</v>
      </c>
      <c r="B232" s="2" t="s">
        <v>461</v>
      </c>
      <c r="D232" s="4" t="s">
        <v>1484</v>
      </c>
      <c r="E232" s="3" t="str">
        <f t="shared" si="14"/>
        <v xml:space="preserve">QK_MAGIC_CAPS_LOCK_AS_CONTROL_OFF            </v>
      </c>
      <c r="F232" s="3" t="s">
        <v>1472</v>
      </c>
      <c r="G232" s="3" t="str">
        <f t="shared" si="15"/>
        <v>0x7003</v>
      </c>
      <c r="H232" s="3" t="s">
        <v>1483</v>
      </c>
      <c r="I232" s="3" t="str">
        <f t="shared" si="16"/>
        <v/>
      </c>
      <c r="J232" s="5" t="s">
        <v>1482</v>
      </c>
      <c r="K232" s="2" t="str">
        <f t="shared" si="17"/>
        <v/>
      </c>
    </row>
    <row r="233" spans="1:11" x14ac:dyDescent="0.25">
      <c r="A233" s="2" t="s">
        <v>462</v>
      </c>
      <c r="B233" s="2" t="s">
        <v>463</v>
      </c>
      <c r="D233" s="4" t="s">
        <v>1484</v>
      </c>
      <c r="E233" s="3" t="str">
        <f t="shared" si="14"/>
        <v xml:space="preserve">QK_MAGIC_CAPS_LOCK_AS_CONTROL_ON             </v>
      </c>
      <c r="F233" s="3" t="s">
        <v>1472</v>
      </c>
      <c r="G233" s="3" t="str">
        <f t="shared" si="15"/>
        <v>0x7004</v>
      </c>
      <c r="H233" s="3" t="s">
        <v>1483</v>
      </c>
      <c r="I233" s="3" t="str">
        <f t="shared" si="16"/>
        <v/>
      </c>
      <c r="J233" s="5" t="s">
        <v>1482</v>
      </c>
      <c r="K233" s="2" t="str">
        <f t="shared" si="17"/>
        <v/>
      </c>
    </row>
    <row r="234" spans="1:11" x14ac:dyDescent="0.25">
      <c r="A234" s="2" t="s">
        <v>464</v>
      </c>
      <c r="B234" s="2" t="s">
        <v>465</v>
      </c>
      <c r="D234" s="4" t="s">
        <v>1484</v>
      </c>
      <c r="E234" s="3" t="str">
        <f t="shared" si="14"/>
        <v xml:space="preserve">QK_MAGIC_SWAP_LALT_LGUI                      </v>
      </c>
      <c r="F234" s="3" t="s">
        <v>1472</v>
      </c>
      <c r="G234" s="3" t="str">
        <f t="shared" si="15"/>
        <v>0x7005</v>
      </c>
      <c r="H234" s="3" t="s">
        <v>1483</v>
      </c>
      <c r="I234" s="3" t="str">
        <f t="shared" si="16"/>
        <v/>
      </c>
      <c r="J234" s="5" t="s">
        <v>1482</v>
      </c>
      <c r="K234" s="2" t="str">
        <f t="shared" si="17"/>
        <v/>
      </c>
    </row>
    <row r="235" spans="1:11" x14ac:dyDescent="0.25">
      <c r="A235" s="2" t="s">
        <v>466</v>
      </c>
      <c r="B235" s="2" t="s">
        <v>467</v>
      </c>
      <c r="D235" s="4" t="s">
        <v>1484</v>
      </c>
      <c r="E235" s="3" t="str">
        <f t="shared" si="14"/>
        <v xml:space="preserve">QK_MAGIC_UNSWAP_LALT_LGUI                    </v>
      </c>
      <c r="F235" s="3" t="s">
        <v>1472</v>
      </c>
      <c r="G235" s="3" t="str">
        <f t="shared" si="15"/>
        <v>0x7006</v>
      </c>
      <c r="H235" s="3" t="s">
        <v>1483</v>
      </c>
      <c r="I235" s="3" t="str">
        <f t="shared" si="16"/>
        <v/>
      </c>
      <c r="J235" s="5" t="s">
        <v>1482</v>
      </c>
      <c r="K235" s="2" t="str">
        <f t="shared" si="17"/>
        <v/>
      </c>
    </row>
    <row r="236" spans="1:11" x14ac:dyDescent="0.25">
      <c r="A236" s="2" t="s">
        <v>468</v>
      </c>
      <c r="B236" s="2" t="s">
        <v>469</v>
      </c>
      <c r="D236" s="4" t="s">
        <v>1484</v>
      </c>
      <c r="E236" s="3" t="str">
        <f t="shared" si="14"/>
        <v xml:space="preserve">QK_MAGIC_SWAP_RALT_RGUI                      </v>
      </c>
      <c r="F236" s="3" t="s">
        <v>1472</v>
      </c>
      <c r="G236" s="3" t="str">
        <f t="shared" si="15"/>
        <v>0x7007</v>
      </c>
      <c r="H236" s="3" t="s">
        <v>1483</v>
      </c>
      <c r="I236" s="3" t="str">
        <f t="shared" si="16"/>
        <v/>
      </c>
      <c r="J236" s="5" t="s">
        <v>1482</v>
      </c>
      <c r="K236" s="2" t="str">
        <f t="shared" si="17"/>
        <v/>
      </c>
    </row>
    <row r="237" spans="1:11" x14ac:dyDescent="0.25">
      <c r="A237" s="2" t="s">
        <v>470</v>
      </c>
      <c r="B237" s="2" t="s">
        <v>471</v>
      </c>
      <c r="D237" s="4" t="s">
        <v>1484</v>
      </c>
      <c r="E237" s="3" t="str">
        <f t="shared" si="14"/>
        <v xml:space="preserve">QK_MAGIC_UNSWAP_RALT_RGUI                    </v>
      </c>
      <c r="F237" s="3" t="s">
        <v>1472</v>
      </c>
      <c r="G237" s="3" t="str">
        <f t="shared" si="15"/>
        <v>0x7008</v>
      </c>
      <c r="H237" s="3" t="s">
        <v>1483</v>
      </c>
      <c r="I237" s="3" t="str">
        <f t="shared" si="16"/>
        <v/>
      </c>
      <c r="J237" s="5" t="s">
        <v>1482</v>
      </c>
      <c r="K237" s="2" t="str">
        <f t="shared" si="17"/>
        <v/>
      </c>
    </row>
    <row r="238" spans="1:11" x14ac:dyDescent="0.25">
      <c r="A238" s="2" t="s">
        <v>472</v>
      </c>
      <c r="B238" s="2" t="s">
        <v>473</v>
      </c>
      <c r="D238" s="4" t="s">
        <v>1484</v>
      </c>
      <c r="E238" s="3" t="str">
        <f t="shared" si="14"/>
        <v xml:space="preserve">QK_MAGIC_GUI_ON                              </v>
      </c>
      <c r="F238" s="3" t="s">
        <v>1472</v>
      </c>
      <c r="G238" s="3" t="str">
        <f t="shared" si="15"/>
        <v>0x7009</v>
      </c>
      <c r="H238" s="3" t="s">
        <v>1483</v>
      </c>
      <c r="I238" s="3" t="str">
        <f t="shared" si="16"/>
        <v/>
      </c>
      <c r="J238" s="5" t="s">
        <v>1482</v>
      </c>
      <c r="K238" s="2" t="str">
        <f t="shared" si="17"/>
        <v/>
      </c>
    </row>
    <row r="239" spans="1:11" x14ac:dyDescent="0.25">
      <c r="A239" s="2" t="s">
        <v>474</v>
      </c>
      <c r="B239" s="2" t="s">
        <v>475</v>
      </c>
      <c r="D239" s="4" t="s">
        <v>1484</v>
      </c>
      <c r="E239" s="3" t="str">
        <f t="shared" si="14"/>
        <v xml:space="preserve">QK_MAGIC_GUI_OFF                             </v>
      </c>
      <c r="F239" s="3" t="s">
        <v>1472</v>
      </c>
      <c r="G239" s="3" t="str">
        <f t="shared" si="15"/>
        <v>0x700A</v>
      </c>
      <c r="H239" s="3" t="s">
        <v>1483</v>
      </c>
      <c r="I239" s="3" t="str">
        <f t="shared" si="16"/>
        <v/>
      </c>
      <c r="J239" s="5" t="s">
        <v>1482</v>
      </c>
      <c r="K239" s="2" t="str">
        <f t="shared" si="17"/>
        <v/>
      </c>
    </row>
    <row r="240" spans="1:11" x14ac:dyDescent="0.25">
      <c r="A240" s="2" t="s">
        <v>476</v>
      </c>
      <c r="B240" s="2" t="s">
        <v>477</v>
      </c>
      <c r="D240" s="4" t="s">
        <v>1484</v>
      </c>
      <c r="E240" s="3" t="str">
        <f t="shared" si="14"/>
        <v xml:space="preserve">QK_MAGIC_TOGGLE_GUI                          </v>
      </c>
      <c r="F240" s="3" t="s">
        <v>1472</v>
      </c>
      <c r="G240" s="3" t="str">
        <f t="shared" si="15"/>
        <v>0x700B</v>
      </c>
      <c r="H240" s="3" t="s">
        <v>1483</v>
      </c>
      <c r="I240" s="3" t="str">
        <f t="shared" si="16"/>
        <v/>
      </c>
      <c r="J240" s="5" t="s">
        <v>1482</v>
      </c>
      <c r="K240" s="2" t="str">
        <f t="shared" si="17"/>
        <v/>
      </c>
    </row>
    <row r="241" spans="1:11" x14ac:dyDescent="0.25">
      <c r="A241" s="2" t="s">
        <v>478</v>
      </c>
      <c r="B241" s="2" t="s">
        <v>479</v>
      </c>
      <c r="D241" s="4" t="s">
        <v>1484</v>
      </c>
      <c r="E241" s="3" t="str">
        <f t="shared" si="14"/>
        <v xml:space="preserve">QK_MAGIC_SWAP_GRAVE_ESC                      </v>
      </c>
      <c r="F241" s="3" t="s">
        <v>1472</v>
      </c>
      <c r="G241" s="3" t="str">
        <f t="shared" si="15"/>
        <v>0x700C</v>
      </c>
      <c r="H241" s="3" t="s">
        <v>1483</v>
      </c>
      <c r="I241" s="3" t="str">
        <f t="shared" si="16"/>
        <v/>
      </c>
      <c r="J241" s="5" t="s">
        <v>1482</v>
      </c>
      <c r="K241" s="2" t="str">
        <f t="shared" si="17"/>
        <v/>
      </c>
    </row>
    <row r="242" spans="1:11" x14ac:dyDescent="0.25">
      <c r="A242" s="2" t="s">
        <v>480</v>
      </c>
      <c r="B242" s="2" t="s">
        <v>481</v>
      </c>
      <c r="D242" s="4" t="s">
        <v>1484</v>
      </c>
      <c r="E242" s="3" t="str">
        <f t="shared" si="14"/>
        <v xml:space="preserve">QK_MAGIC_UNSWAP_GRAVE_ESC                    </v>
      </c>
      <c r="F242" s="3" t="s">
        <v>1472</v>
      </c>
      <c r="G242" s="3" t="str">
        <f t="shared" si="15"/>
        <v>0x700D</v>
      </c>
      <c r="H242" s="3" t="s">
        <v>1483</v>
      </c>
      <c r="I242" s="3" t="str">
        <f t="shared" si="16"/>
        <v/>
      </c>
      <c r="J242" s="5" t="s">
        <v>1482</v>
      </c>
      <c r="K242" s="2" t="str">
        <f t="shared" si="17"/>
        <v/>
      </c>
    </row>
    <row r="243" spans="1:11" x14ac:dyDescent="0.25">
      <c r="A243" s="2" t="s">
        <v>482</v>
      </c>
      <c r="B243" s="2" t="s">
        <v>483</v>
      </c>
      <c r="D243" s="4" t="s">
        <v>1484</v>
      </c>
      <c r="E243" s="3" t="str">
        <f t="shared" si="14"/>
        <v xml:space="preserve">QK_MAGIC_SWAP_BACKSLASH_BACKSPACE            </v>
      </c>
      <c r="F243" s="3" t="s">
        <v>1472</v>
      </c>
      <c r="G243" s="3" t="str">
        <f t="shared" si="15"/>
        <v>0x700E</v>
      </c>
      <c r="H243" s="3" t="s">
        <v>1483</v>
      </c>
      <c r="I243" s="3" t="str">
        <f t="shared" si="16"/>
        <v/>
      </c>
      <c r="J243" s="5" t="s">
        <v>1482</v>
      </c>
      <c r="K243" s="2" t="str">
        <f t="shared" si="17"/>
        <v/>
      </c>
    </row>
    <row r="244" spans="1:11" x14ac:dyDescent="0.25">
      <c r="A244" s="2" t="s">
        <v>484</v>
      </c>
      <c r="B244" s="2" t="s">
        <v>485</v>
      </c>
      <c r="D244" s="4" t="s">
        <v>1484</v>
      </c>
      <c r="E244" s="3" t="str">
        <f t="shared" si="14"/>
        <v xml:space="preserve">QK_MAGIC_UNSWAP_BACKSLASH_BACKSPACE          </v>
      </c>
      <c r="F244" s="3" t="s">
        <v>1472</v>
      </c>
      <c r="G244" s="3" t="str">
        <f t="shared" si="15"/>
        <v>0x700F</v>
      </c>
      <c r="H244" s="3" t="s">
        <v>1483</v>
      </c>
      <c r="I244" s="3" t="str">
        <f t="shared" si="16"/>
        <v/>
      </c>
      <c r="J244" s="5" t="s">
        <v>1482</v>
      </c>
      <c r="K244" s="2" t="str">
        <f t="shared" si="17"/>
        <v/>
      </c>
    </row>
    <row r="245" spans="1:11" x14ac:dyDescent="0.25">
      <c r="A245" s="2" t="s">
        <v>486</v>
      </c>
      <c r="B245" s="2" t="s">
        <v>487</v>
      </c>
      <c r="D245" s="4" t="s">
        <v>1484</v>
      </c>
      <c r="E245" s="3" t="str">
        <f t="shared" si="14"/>
        <v xml:space="preserve">QK_MAGIC_TOGGLE_BACKSLASH_BACKSPACE          </v>
      </c>
      <c r="F245" s="3" t="s">
        <v>1472</v>
      </c>
      <c r="G245" s="3" t="str">
        <f t="shared" si="15"/>
        <v>0x7010</v>
      </c>
      <c r="H245" s="3" t="s">
        <v>1483</v>
      </c>
      <c r="I245" s="3" t="str">
        <f t="shared" si="16"/>
        <v/>
      </c>
      <c r="J245" s="5" t="s">
        <v>1482</v>
      </c>
      <c r="K245" s="2" t="str">
        <f t="shared" si="17"/>
        <v/>
      </c>
    </row>
    <row r="246" spans="1:11" x14ac:dyDescent="0.25">
      <c r="A246" s="2" t="s">
        <v>488</v>
      </c>
      <c r="B246" s="2" t="s">
        <v>489</v>
      </c>
      <c r="D246" s="4" t="s">
        <v>1484</v>
      </c>
      <c r="E246" s="3" t="str">
        <f t="shared" si="14"/>
        <v xml:space="preserve">QK_MAGIC_NKRO_ON                             </v>
      </c>
      <c r="F246" s="3" t="s">
        <v>1472</v>
      </c>
      <c r="G246" s="3" t="str">
        <f t="shared" si="15"/>
        <v>0x7011</v>
      </c>
      <c r="H246" s="3" t="s">
        <v>1483</v>
      </c>
      <c r="I246" s="3" t="str">
        <f t="shared" si="16"/>
        <v/>
      </c>
      <c r="J246" s="5" t="s">
        <v>1482</v>
      </c>
      <c r="K246" s="2" t="str">
        <f t="shared" si="17"/>
        <v/>
      </c>
    </row>
    <row r="247" spans="1:11" x14ac:dyDescent="0.25">
      <c r="A247" s="2" t="s">
        <v>490</v>
      </c>
      <c r="B247" s="2" t="s">
        <v>491</v>
      </c>
      <c r="D247" s="4" t="s">
        <v>1484</v>
      </c>
      <c r="E247" s="3" t="str">
        <f t="shared" si="14"/>
        <v xml:space="preserve">QK_MAGIC_NKRO_OFF                            </v>
      </c>
      <c r="F247" s="3" t="s">
        <v>1472</v>
      </c>
      <c r="G247" s="3" t="str">
        <f t="shared" si="15"/>
        <v>0x7012</v>
      </c>
      <c r="H247" s="3" t="s">
        <v>1483</v>
      </c>
      <c r="I247" s="3" t="str">
        <f t="shared" si="16"/>
        <v/>
      </c>
      <c r="J247" s="5" t="s">
        <v>1482</v>
      </c>
      <c r="K247" s="2" t="str">
        <f t="shared" si="17"/>
        <v/>
      </c>
    </row>
    <row r="248" spans="1:11" x14ac:dyDescent="0.25">
      <c r="A248" s="2" t="s">
        <v>492</v>
      </c>
      <c r="B248" s="2" t="s">
        <v>493</v>
      </c>
      <c r="D248" s="4" t="s">
        <v>1484</v>
      </c>
      <c r="E248" s="3" t="str">
        <f t="shared" si="14"/>
        <v xml:space="preserve">QK_MAGIC_TOGGLE_NKRO                         </v>
      </c>
      <c r="F248" s="3" t="s">
        <v>1472</v>
      </c>
      <c r="G248" s="3" t="str">
        <f t="shared" si="15"/>
        <v>0x7013</v>
      </c>
      <c r="H248" s="3" t="s">
        <v>1483</v>
      </c>
      <c r="I248" s="3" t="str">
        <f t="shared" si="16"/>
        <v/>
      </c>
      <c r="J248" s="5" t="s">
        <v>1482</v>
      </c>
      <c r="K248" s="2" t="str">
        <f t="shared" si="17"/>
        <v/>
      </c>
    </row>
    <row r="249" spans="1:11" x14ac:dyDescent="0.25">
      <c r="A249" s="2" t="s">
        <v>494</v>
      </c>
      <c r="B249" s="2" t="s">
        <v>495</v>
      </c>
      <c r="D249" s="4" t="s">
        <v>1484</v>
      </c>
      <c r="E249" s="3" t="str">
        <f t="shared" si="14"/>
        <v xml:space="preserve">QK_MAGIC_SWAP_ALT_GUI                        </v>
      </c>
      <c r="F249" s="3" t="s">
        <v>1472</v>
      </c>
      <c r="G249" s="3" t="str">
        <f t="shared" si="15"/>
        <v>0x7014</v>
      </c>
      <c r="H249" s="3" t="s">
        <v>1483</v>
      </c>
      <c r="I249" s="3" t="str">
        <f t="shared" si="16"/>
        <v/>
      </c>
      <c r="J249" s="5" t="s">
        <v>1482</v>
      </c>
      <c r="K249" s="2" t="str">
        <f t="shared" si="17"/>
        <v/>
      </c>
    </row>
    <row r="250" spans="1:11" x14ac:dyDescent="0.25">
      <c r="A250" s="2" t="s">
        <v>496</v>
      </c>
      <c r="B250" s="2" t="s">
        <v>497</v>
      </c>
      <c r="D250" s="4" t="s">
        <v>1484</v>
      </c>
      <c r="E250" s="3" t="str">
        <f t="shared" si="14"/>
        <v xml:space="preserve">QK_MAGIC_UNSWAP_ALT_GUI                      </v>
      </c>
      <c r="F250" s="3" t="s">
        <v>1472</v>
      </c>
      <c r="G250" s="3" t="str">
        <f t="shared" si="15"/>
        <v>0x7015</v>
      </c>
      <c r="H250" s="3" t="s">
        <v>1483</v>
      </c>
      <c r="I250" s="3" t="str">
        <f t="shared" si="16"/>
        <v/>
      </c>
      <c r="J250" s="5" t="s">
        <v>1482</v>
      </c>
      <c r="K250" s="2" t="str">
        <f t="shared" si="17"/>
        <v/>
      </c>
    </row>
    <row r="251" spans="1:11" x14ac:dyDescent="0.25">
      <c r="A251" s="2" t="s">
        <v>498</v>
      </c>
      <c r="B251" s="2" t="s">
        <v>499</v>
      </c>
      <c r="D251" s="4" t="s">
        <v>1484</v>
      </c>
      <c r="E251" s="3" t="str">
        <f t="shared" si="14"/>
        <v xml:space="preserve">QK_MAGIC_TOGGLE_ALT_GUI                      </v>
      </c>
      <c r="F251" s="3" t="s">
        <v>1472</v>
      </c>
      <c r="G251" s="3" t="str">
        <f t="shared" si="15"/>
        <v>0x7016</v>
      </c>
      <c r="H251" s="3" t="s">
        <v>1483</v>
      </c>
      <c r="I251" s="3" t="str">
        <f t="shared" si="16"/>
        <v/>
      </c>
      <c r="J251" s="5" t="s">
        <v>1482</v>
      </c>
      <c r="K251" s="2" t="str">
        <f t="shared" si="17"/>
        <v/>
      </c>
    </row>
    <row r="252" spans="1:11" x14ac:dyDescent="0.25">
      <c r="A252" s="2" t="s">
        <v>500</v>
      </c>
      <c r="B252" s="2" t="s">
        <v>501</v>
      </c>
      <c r="D252" s="4" t="s">
        <v>1484</v>
      </c>
      <c r="E252" s="3" t="str">
        <f t="shared" si="14"/>
        <v xml:space="preserve">QK_MAGIC_SWAP_LCTL_LGUI                      </v>
      </c>
      <c r="F252" s="3" t="s">
        <v>1472</v>
      </c>
      <c r="G252" s="3" t="str">
        <f t="shared" si="15"/>
        <v>0x7017</v>
      </c>
      <c r="H252" s="3" t="s">
        <v>1483</v>
      </c>
      <c r="I252" s="3" t="str">
        <f t="shared" si="16"/>
        <v/>
      </c>
      <c r="J252" s="5" t="s">
        <v>1482</v>
      </c>
      <c r="K252" s="2" t="str">
        <f t="shared" si="17"/>
        <v/>
      </c>
    </row>
    <row r="253" spans="1:11" x14ac:dyDescent="0.25">
      <c r="A253" s="2" t="s">
        <v>502</v>
      </c>
      <c r="B253" s="2" t="s">
        <v>503</v>
      </c>
      <c r="D253" s="4" t="s">
        <v>1484</v>
      </c>
      <c r="E253" s="3" t="str">
        <f t="shared" si="14"/>
        <v xml:space="preserve">QK_MAGIC_UNSWAP_LCTL_LGUI                    </v>
      </c>
      <c r="F253" s="3" t="s">
        <v>1472</v>
      </c>
      <c r="G253" s="3" t="str">
        <f t="shared" si="15"/>
        <v>0x7018</v>
      </c>
      <c r="H253" s="3" t="s">
        <v>1483</v>
      </c>
      <c r="I253" s="3" t="str">
        <f t="shared" si="16"/>
        <v/>
      </c>
      <c r="J253" s="5" t="s">
        <v>1482</v>
      </c>
      <c r="K253" s="2" t="str">
        <f t="shared" si="17"/>
        <v/>
      </c>
    </row>
    <row r="254" spans="1:11" x14ac:dyDescent="0.25">
      <c r="A254" s="2" t="s">
        <v>504</v>
      </c>
      <c r="B254" s="2" t="s">
        <v>505</v>
      </c>
      <c r="D254" s="4" t="s">
        <v>1484</v>
      </c>
      <c r="E254" s="3" t="str">
        <f t="shared" si="14"/>
        <v xml:space="preserve">QK_MAGIC_SWAP_RCTL_RGUI                      </v>
      </c>
      <c r="F254" s="3" t="s">
        <v>1472</v>
      </c>
      <c r="G254" s="3" t="str">
        <f t="shared" si="15"/>
        <v>0x7019</v>
      </c>
      <c r="H254" s="3" t="s">
        <v>1483</v>
      </c>
      <c r="I254" s="3" t="str">
        <f t="shared" si="16"/>
        <v/>
      </c>
      <c r="J254" s="5" t="s">
        <v>1482</v>
      </c>
      <c r="K254" s="2" t="str">
        <f t="shared" si="17"/>
        <v/>
      </c>
    </row>
    <row r="255" spans="1:11" x14ac:dyDescent="0.25">
      <c r="A255" s="2" t="s">
        <v>506</v>
      </c>
      <c r="B255" s="2" t="s">
        <v>507</v>
      </c>
      <c r="D255" s="4" t="s">
        <v>1484</v>
      </c>
      <c r="E255" s="3" t="str">
        <f t="shared" si="14"/>
        <v xml:space="preserve">QK_MAGIC_UNSWAP_RCTL_RGUI                    </v>
      </c>
      <c r="F255" s="3" t="s">
        <v>1472</v>
      </c>
      <c r="G255" s="3" t="str">
        <f t="shared" si="15"/>
        <v>0x701A</v>
      </c>
      <c r="H255" s="3" t="s">
        <v>1483</v>
      </c>
      <c r="I255" s="3" t="str">
        <f t="shared" si="16"/>
        <v/>
      </c>
      <c r="J255" s="5" t="s">
        <v>1482</v>
      </c>
      <c r="K255" s="2" t="str">
        <f t="shared" si="17"/>
        <v/>
      </c>
    </row>
    <row r="256" spans="1:11" x14ac:dyDescent="0.25">
      <c r="A256" s="2" t="s">
        <v>508</v>
      </c>
      <c r="B256" s="2" t="s">
        <v>509</v>
      </c>
      <c r="D256" s="4" t="s">
        <v>1484</v>
      </c>
      <c r="E256" s="3" t="str">
        <f t="shared" si="14"/>
        <v xml:space="preserve">QK_MAGIC_SWAP_CTL_GUI                        </v>
      </c>
      <c r="F256" s="3" t="s">
        <v>1472</v>
      </c>
      <c r="G256" s="3" t="str">
        <f t="shared" si="15"/>
        <v>0x701B</v>
      </c>
      <c r="H256" s="3" t="s">
        <v>1483</v>
      </c>
      <c r="I256" s="3" t="str">
        <f t="shared" si="16"/>
        <v/>
      </c>
      <c r="J256" s="5" t="s">
        <v>1482</v>
      </c>
      <c r="K256" s="2" t="str">
        <f t="shared" si="17"/>
        <v/>
      </c>
    </row>
    <row r="257" spans="1:11" x14ac:dyDescent="0.25">
      <c r="A257" s="2" t="s">
        <v>510</v>
      </c>
      <c r="B257" s="2" t="s">
        <v>511</v>
      </c>
      <c r="D257" s="4" t="s">
        <v>1484</v>
      </c>
      <c r="E257" s="3" t="str">
        <f t="shared" si="14"/>
        <v xml:space="preserve">QK_MAGIC_UNSWAP_CTL_GUI                      </v>
      </c>
      <c r="F257" s="3" t="s">
        <v>1472</v>
      </c>
      <c r="G257" s="3" t="str">
        <f t="shared" si="15"/>
        <v>0x701C</v>
      </c>
      <c r="H257" s="3" t="s">
        <v>1483</v>
      </c>
      <c r="I257" s="3" t="str">
        <f t="shared" si="16"/>
        <v/>
      </c>
      <c r="J257" s="5" t="s">
        <v>1482</v>
      </c>
      <c r="K257" s="2" t="str">
        <f t="shared" si="17"/>
        <v/>
      </c>
    </row>
    <row r="258" spans="1:11" x14ac:dyDescent="0.25">
      <c r="A258" s="2" t="s">
        <v>512</v>
      </c>
      <c r="B258" s="2" t="s">
        <v>513</v>
      </c>
      <c r="D258" s="4" t="s">
        <v>1484</v>
      </c>
      <c r="E258" s="3" t="str">
        <f t="shared" si="14"/>
        <v xml:space="preserve">QK_MAGIC_TOGGLE_CTL_GUI                      </v>
      </c>
      <c r="F258" s="3" t="s">
        <v>1472</v>
      </c>
      <c r="G258" s="3" t="str">
        <f t="shared" si="15"/>
        <v>0x701D</v>
      </c>
      <c r="H258" s="3" t="s">
        <v>1483</v>
      </c>
      <c r="I258" s="3" t="str">
        <f t="shared" si="16"/>
        <v/>
      </c>
      <c r="J258" s="5" t="s">
        <v>1482</v>
      </c>
      <c r="K258" s="2" t="str">
        <f t="shared" si="17"/>
        <v/>
      </c>
    </row>
    <row r="259" spans="1:11" x14ac:dyDescent="0.25">
      <c r="A259" s="2" t="s">
        <v>514</v>
      </c>
      <c r="B259" s="2" t="s">
        <v>515</v>
      </c>
      <c r="D259" s="4" t="s">
        <v>1484</v>
      </c>
      <c r="E259" s="3" t="str">
        <f t="shared" ref="E259:E322" si="18">LEFT(A259 &amp; REPT(" ",$E$1),$E$1)</f>
        <v xml:space="preserve">QK_MAGIC_EE_HANDS_LEFT                       </v>
      </c>
      <c r="F259" s="3" t="s">
        <v>1472</v>
      </c>
      <c r="G259" s="3" t="str">
        <f t="shared" ref="G259:G322" si="19">B259</f>
        <v>0x701E</v>
      </c>
      <c r="H259" s="3" t="s">
        <v>1483</v>
      </c>
      <c r="I259" s="3" t="str">
        <f t="shared" ref="I259:I322" si="20">IF(C259="","",C259)</f>
        <v/>
      </c>
      <c r="J259" s="5" t="s">
        <v>1482</v>
      </c>
      <c r="K259" s="2" t="str">
        <f t="shared" ref="K259:K322" si="21">IF(I259="","",_xlfn.CONCAT(D259:J259))</f>
        <v/>
      </c>
    </row>
    <row r="260" spans="1:11" x14ac:dyDescent="0.25">
      <c r="A260" s="2" t="s">
        <v>516</v>
      </c>
      <c r="B260" s="2" t="s">
        <v>517</v>
      </c>
      <c r="D260" s="4" t="s">
        <v>1484</v>
      </c>
      <c r="E260" s="3" t="str">
        <f t="shared" si="18"/>
        <v xml:space="preserve">QK_MAGIC_EE_HANDS_RIGHT                      </v>
      </c>
      <c r="F260" s="3" t="s">
        <v>1472</v>
      </c>
      <c r="G260" s="3" t="str">
        <f t="shared" si="19"/>
        <v>0x701F</v>
      </c>
      <c r="H260" s="3" t="s">
        <v>1483</v>
      </c>
      <c r="I260" s="3" t="str">
        <f t="shared" si="20"/>
        <v/>
      </c>
      <c r="J260" s="5" t="s">
        <v>1482</v>
      </c>
      <c r="K260" s="2" t="str">
        <f t="shared" si="21"/>
        <v/>
      </c>
    </row>
    <row r="261" spans="1:11" x14ac:dyDescent="0.25">
      <c r="A261" s="2" t="s">
        <v>518</v>
      </c>
      <c r="B261" s="2" t="s">
        <v>519</v>
      </c>
      <c r="D261" s="4" t="s">
        <v>1484</v>
      </c>
      <c r="E261" s="3" t="str">
        <f t="shared" si="18"/>
        <v xml:space="preserve">QK_MAGIC_SWAP_ESCAPE_CAPS_LOCK               </v>
      </c>
      <c r="F261" s="3" t="s">
        <v>1472</v>
      </c>
      <c r="G261" s="3" t="str">
        <f t="shared" si="19"/>
        <v>0x7020</v>
      </c>
      <c r="H261" s="3" t="s">
        <v>1483</v>
      </c>
      <c r="I261" s="3" t="str">
        <f t="shared" si="20"/>
        <v/>
      </c>
      <c r="J261" s="5" t="s">
        <v>1482</v>
      </c>
      <c r="K261" s="2" t="str">
        <f t="shared" si="21"/>
        <v/>
      </c>
    </row>
    <row r="262" spans="1:11" x14ac:dyDescent="0.25">
      <c r="A262" s="2" t="s">
        <v>520</v>
      </c>
      <c r="B262" s="2" t="s">
        <v>521</v>
      </c>
      <c r="D262" s="4" t="s">
        <v>1484</v>
      </c>
      <c r="E262" s="3" t="str">
        <f t="shared" si="18"/>
        <v xml:space="preserve">QK_MAGIC_UNSWAP_ESCAPE_CAPS_LOCK             </v>
      </c>
      <c r="F262" s="3" t="s">
        <v>1472</v>
      </c>
      <c r="G262" s="3" t="str">
        <f t="shared" si="19"/>
        <v>0x7021</v>
      </c>
      <c r="H262" s="3" t="s">
        <v>1483</v>
      </c>
      <c r="I262" s="3" t="str">
        <f t="shared" si="20"/>
        <v/>
      </c>
      <c r="J262" s="5" t="s">
        <v>1482</v>
      </c>
      <c r="K262" s="2" t="str">
        <f t="shared" si="21"/>
        <v/>
      </c>
    </row>
    <row r="263" spans="1:11" x14ac:dyDescent="0.25">
      <c r="A263" s="2" t="s">
        <v>522</v>
      </c>
      <c r="B263" s="2" t="s">
        <v>523</v>
      </c>
      <c r="D263" s="4" t="s">
        <v>1484</v>
      </c>
      <c r="E263" s="3" t="str">
        <f t="shared" si="18"/>
        <v xml:space="preserve">QK_MAGIC_TOGGLE_ESCAPE_CAPS_LOCK             </v>
      </c>
      <c r="F263" s="3" t="s">
        <v>1472</v>
      </c>
      <c r="G263" s="3" t="str">
        <f t="shared" si="19"/>
        <v>0x7022</v>
      </c>
      <c r="H263" s="3" t="s">
        <v>1483</v>
      </c>
      <c r="I263" s="3" t="str">
        <f t="shared" si="20"/>
        <v/>
      </c>
      <c r="J263" s="5" t="s">
        <v>1482</v>
      </c>
      <c r="K263" s="2" t="str">
        <f t="shared" si="21"/>
        <v/>
      </c>
    </row>
    <row r="264" spans="1:11" x14ac:dyDescent="0.25">
      <c r="A264" s="2" t="s">
        <v>524</v>
      </c>
      <c r="B264" s="2" t="s">
        <v>525</v>
      </c>
      <c r="D264" s="4" t="s">
        <v>1484</v>
      </c>
      <c r="E264" s="3" t="str">
        <f t="shared" si="18"/>
        <v xml:space="preserve">QK_MIDI_ON                                   </v>
      </c>
      <c r="F264" s="3" t="s">
        <v>1472</v>
      </c>
      <c r="G264" s="3" t="str">
        <f t="shared" si="19"/>
        <v>0x7100</v>
      </c>
      <c r="H264" s="3" t="s">
        <v>1483</v>
      </c>
      <c r="I264" s="3" t="str">
        <f t="shared" si="20"/>
        <v/>
      </c>
      <c r="J264" s="5" t="s">
        <v>1482</v>
      </c>
      <c r="K264" s="2" t="str">
        <f t="shared" si="21"/>
        <v/>
      </c>
    </row>
    <row r="265" spans="1:11" x14ac:dyDescent="0.25">
      <c r="A265" s="2" t="s">
        <v>526</v>
      </c>
      <c r="B265" s="2" t="s">
        <v>527</v>
      </c>
      <c r="D265" s="4" t="s">
        <v>1484</v>
      </c>
      <c r="E265" s="3" t="str">
        <f t="shared" si="18"/>
        <v xml:space="preserve">QK_MIDI_OFF                                  </v>
      </c>
      <c r="F265" s="3" t="s">
        <v>1472</v>
      </c>
      <c r="G265" s="3" t="str">
        <f t="shared" si="19"/>
        <v>0x7101</v>
      </c>
      <c r="H265" s="3" t="s">
        <v>1483</v>
      </c>
      <c r="I265" s="3" t="str">
        <f t="shared" si="20"/>
        <v/>
      </c>
      <c r="J265" s="5" t="s">
        <v>1482</v>
      </c>
      <c r="K265" s="2" t="str">
        <f t="shared" si="21"/>
        <v/>
      </c>
    </row>
    <row r="266" spans="1:11" x14ac:dyDescent="0.25">
      <c r="A266" s="2" t="s">
        <v>528</v>
      </c>
      <c r="B266" s="2" t="s">
        <v>529</v>
      </c>
      <c r="D266" s="4" t="s">
        <v>1484</v>
      </c>
      <c r="E266" s="3" t="str">
        <f t="shared" si="18"/>
        <v xml:space="preserve">QK_MIDI_TOGGLE                               </v>
      </c>
      <c r="F266" s="3" t="s">
        <v>1472</v>
      </c>
      <c r="G266" s="3" t="str">
        <f t="shared" si="19"/>
        <v>0x7102</v>
      </c>
      <c r="H266" s="3" t="s">
        <v>1483</v>
      </c>
      <c r="I266" s="3" t="str">
        <f t="shared" si="20"/>
        <v/>
      </c>
      <c r="J266" s="5" t="s">
        <v>1482</v>
      </c>
      <c r="K266" s="2" t="str">
        <f t="shared" si="21"/>
        <v/>
      </c>
    </row>
    <row r="267" spans="1:11" x14ac:dyDescent="0.25">
      <c r="A267" s="2" t="s">
        <v>530</v>
      </c>
      <c r="B267" s="2" t="s">
        <v>531</v>
      </c>
      <c r="D267" s="4" t="s">
        <v>1484</v>
      </c>
      <c r="E267" s="3" t="str">
        <f t="shared" si="18"/>
        <v xml:space="preserve">QK_MIDI_NOTE_C_0                             </v>
      </c>
      <c r="F267" s="3" t="s">
        <v>1472</v>
      </c>
      <c r="G267" s="3" t="str">
        <f t="shared" si="19"/>
        <v>0x7103</v>
      </c>
      <c r="H267" s="3" t="s">
        <v>1483</v>
      </c>
      <c r="I267" s="3" t="str">
        <f t="shared" si="20"/>
        <v/>
      </c>
      <c r="J267" s="5" t="s">
        <v>1482</v>
      </c>
      <c r="K267" s="2" t="str">
        <f t="shared" si="21"/>
        <v/>
      </c>
    </row>
    <row r="268" spans="1:11" x14ac:dyDescent="0.25">
      <c r="A268" s="2" t="s">
        <v>532</v>
      </c>
      <c r="B268" s="2" t="s">
        <v>533</v>
      </c>
      <c r="D268" s="4" t="s">
        <v>1484</v>
      </c>
      <c r="E268" s="3" t="str">
        <f t="shared" si="18"/>
        <v xml:space="preserve">QK_MIDI_NOTE_C_SHARP_0                       </v>
      </c>
      <c r="F268" s="3" t="s">
        <v>1472</v>
      </c>
      <c r="G268" s="3" t="str">
        <f t="shared" si="19"/>
        <v>0x7104</v>
      </c>
      <c r="H268" s="3" t="s">
        <v>1483</v>
      </c>
      <c r="I268" s="3" t="str">
        <f t="shared" si="20"/>
        <v/>
      </c>
      <c r="J268" s="5" t="s">
        <v>1482</v>
      </c>
      <c r="K268" s="2" t="str">
        <f t="shared" si="21"/>
        <v/>
      </c>
    </row>
    <row r="269" spans="1:11" x14ac:dyDescent="0.25">
      <c r="A269" s="2" t="s">
        <v>534</v>
      </c>
      <c r="B269" s="2" t="s">
        <v>535</v>
      </c>
      <c r="D269" s="4" t="s">
        <v>1484</v>
      </c>
      <c r="E269" s="3" t="str">
        <f t="shared" si="18"/>
        <v xml:space="preserve">QK_MIDI_NOTE_D_0                             </v>
      </c>
      <c r="F269" s="3" t="s">
        <v>1472</v>
      </c>
      <c r="G269" s="3" t="str">
        <f t="shared" si="19"/>
        <v>0x7105</v>
      </c>
      <c r="H269" s="3" t="s">
        <v>1483</v>
      </c>
      <c r="I269" s="3" t="str">
        <f t="shared" si="20"/>
        <v/>
      </c>
      <c r="J269" s="5" t="s">
        <v>1482</v>
      </c>
      <c r="K269" s="2" t="str">
        <f t="shared" si="21"/>
        <v/>
      </c>
    </row>
    <row r="270" spans="1:11" x14ac:dyDescent="0.25">
      <c r="A270" s="2" t="s">
        <v>536</v>
      </c>
      <c r="B270" s="2" t="s">
        <v>537</v>
      </c>
      <c r="D270" s="4" t="s">
        <v>1484</v>
      </c>
      <c r="E270" s="3" t="str">
        <f t="shared" si="18"/>
        <v xml:space="preserve">QK_MIDI_NOTE_D_SHARP_0                       </v>
      </c>
      <c r="F270" s="3" t="s">
        <v>1472</v>
      </c>
      <c r="G270" s="3" t="str">
        <f t="shared" si="19"/>
        <v>0x7106</v>
      </c>
      <c r="H270" s="3" t="s">
        <v>1483</v>
      </c>
      <c r="I270" s="3" t="str">
        <f t="shared" si="20"/>
        <v/>
      </c>
      <c r="J270" s="5" t="s">
        <v>1482</v>
      </c>
      <c r="K270" s="2" t="str">
        <f t="shared" si="21"/>
        <v/>
      </c>
    </row>
    <row r="271" spans="1:11" x14ac:dyDescent="0.25">
      <c r="A271" s="2" t="s">
        <v>538</v>
      </c>
      <c r="B271" s="2" t="s">
        <v>539</v>
      </c>
      <c r="D271" s="4" t="s">
        <v>1484</v>
      </c>
      <c r="E271" s="3" t="str">
        <f t="shared" si="18"/>
        <v xml:space="preserve">QK_MIDI_NOTE_E_0                             </v>
      </c>
      <c r="F271" s="3" t="s">
        <v>1472</v>
      </c>
      <c r="G271" s="3" t="str">
        <f t="shared" si="19"/>
        <v>0x7107</v>
      </c>
      <c r="H271" s="3" t="s">
        <v>1483</v>
      </c>
      <c r="I271" s="3" t="str">
        <f t="shared" si="20"/>
        <v/>
      </c>
      <c r="J271" s="5" t="s">
        <v>1482</v>
      </c>
      <c r="K271" s="2" t="str">
        <f t="shared" si="21"/>
        <v/>
      </c>
    </row>
    <row r="272" spans="1:11" x14ac:dyDescent="0.25">
      <c r="A272" s="2" t="s">
        <v>540</v>
      </c>
      <c r="B272" s="2" t="s">
        <v>541</v>
      </c>
      <c r="D272" s="4" t="s">
        <v>1484</v>
      </c>
      <c r="E272" s="3" t="str">
        <f t="shared" si="18"/>
        <v xml:space="preserve">QK_MIDI_NOTE_F_0                             </v>
      </c>
      <c r="F272" s="3" t="s">
        <v>1472</v>
      </c>
      <c r="G272" s="3" t="str">
        <f t="shared" si="19"/>
        <v>0x7108</v>
      </c>
      <c r="H272" s="3" t="s">
        <v>1483</v>
      </c>
      <c r="I272" s="3" t="str">
        <f t="shared" si="20"/>
        <v/>
      </c>
      <c r="J272" s="5" t="s">
        <v>1482</v>
      </c>
      <c r="K272" s="2" t="str">
        <f t="shared" si="21"/>
        <v/>
      </c>
    </row>
    <row r="273" spans="1:11" x14ac:dyDescent="0.25">
      <c r="A273" s="2" t="s">
        <v>542</v>
      </c>
      <c r="B273" s="2" t="s">
        <v>543</v>
      </c>
      <c r="D273" s="4" t="s">
        <v>1484</v>
      </c>
      <c r="E273" s="3" t="str">
        <f t="shared" si="18"/>
        <v xml:space="preserve">QK_MIDI_NOTE_F_SHARP_0                       </v>
      </c>
      <c r="F273" s="3" t="s">
        <v>1472</v>
      </c>
      <c r="G273" s="3" t="str">
        <f t="shared" si="19"/>
        <v>0x7109</v>
      </c>
      <c r="H273" s="3" t="s">
        <v>1483</v>
      </c>
      <c r="I273" s="3" t="str">
        <f t="shared" si="20"/>
        <v/>
      </c>
      <c r="J273" s="5" t="s">
        <v>1482</v>
      </c>
      <c r="K273" s="2" t="str">
        <f t="shared" si="21"/>
        <v/>
      </c>
    </row>
    <row r="274" spans="1:11" x14ac:dyDescent="0.25">
      <c r="A274" s="2" t="s">
        <v>544</v>
      </c>
      <c r="B274" s="2" t="s">
        <v>545</v>
      </c>
      <c r="D274" s="4" t="s">
        <v>1484</v>
      </c>
      <c r="E274" s="3" t="str">
        <f t="shared" si="18"/>
        <v xml:space="preserve">QK_MIDI_NOTE_G_0                             </v>
      </c>
      <c r="F274" s="3" t="s">
        <v>1472</v>
      </c>
      <c r="G274" s="3" t="str">
        <f t="shared" si="19"/>
        <v>0x710A</v>
      </c>
      <c r="H274" s="3" t="s">
        <v>1483</v>
      </c>
      <c r="I274" s="3" t="str">
        <f t="shared" si="20"/>
        <v/>
      </c>
      <c r="J274" s="5" t="s">
        <v>1482</v>
      </c>
      <c r="K274" s="2" t="str">
        <f t="shared" si="21"/>
        <v/>
      </c>
    </row>
    <row r="275" spans="1:11" x14ac:dyDescent="0.25">
      <c r="A275" s="2" t="s">
        <v>546</v>
      </c>
      <c r="B275" s="2" t="s">
        <v>547</v>
      </c>
      <c r="D275" s="4" t="s">
        <v>1484</v>
      </c>
      <c r="E275" s="3" t="str">
        <f t="shared" si="18"/>
        <v xml:space="preserve">QK_MIDI_NOTE_G_SHARP_0                       </v>
      </c>
      <c r="F275" s="3" t="s">
        <v>1472</v>
      </c>
      <c r="G275" s="3" t="str">
        <f t="shared" si="19"/>
        <v>0x710B</v>
      </c>
      <c r="H275" s="3" t="s">
        <v>1483</v>
      </c>
      <c r="I275" s="3" t="str">
        <f t="shared" si="20"/>
        <v/>
      </c>
      <c r="J275" s="5" t="s">
        <v>1482</v>
      </c>
      <c r="K275" s="2" t="str">
        <f t="shared" si="21"/>
        <v/>
      </c>
    </row>
    <row r="276" spans="1:11" x14ac:dyDescent="0.25">
      <c r="A276" s="2" t="s">
        <v>548</v>
      </c>
      <c r="B276" s="2" t="s">
        <v>549</v>
      </c>
      <c r="D276" s="4" t="s">
        <v>1484</v>
      </c>
      <c r="E276" s="3" t="str">
        <f t="shared" si="18"/>
        <v xml:space="preserve">QK_MIDI_NOTE_A_0                             </v>
      </c>
      <c r="F276" s="3" t="s">
        <v>1472</v>
      </c>
      <c r="G276" s="3" t="str">
        <f t="shared" si="19"/>
        <v>0x710C</v>
      </c>
      <c r="H276" s="3" t="s">
        <v>1483</v>
      </c>
      <c r="I276" s="3" t="str">
        <f t="shared" si="20"/>
        <v/>
      </c>
      <c r="J276" s="5" t="s">
        <v>1482</v>
      </c>
      <c r="K276" s="2" t="str">
        <f t="shared" si="21"/>
        <v/>
      </c>
    </row>
    <row r="277" spans="1:11" x14ac:dyDescent="0.25">
      <c r="A277" s="2" t="s">
        <v>550</v>
      </c>
      <c r="B277" s="2" t="s">
        <v>551</v>
      </c>
      <c r="D277" s="4" t="s">
        <v>1484</v>
      </c>
      <c r="E277" s="3" t="str">
        <f t="shared" si="18"/>
        <v xml:space="preserve">QK_MIDI_NOTE_A_SHARP_0                       </v>
      </c>
      <c r="F277" s="3" t="s">
        <v>1472</v>
      </c>
      <c r="G277" s="3" t="str">
        <f t="shared" si="19"/>
        <v>0x710D</v>
      </c>
      <c r="H277" s="3" t="s">
        <v>1483</v>
      </c>
      <c r="I277" s="3" t="str">
        <f t="shared" si="20"/>
        <v/>
      </c>
      <c r="J277" s="5" t="s">
        <v>1482</v>
      </c>
      <c r="K277" s="2" t="str">
        <f t="shared" si="21"/>
        <v/>
      </c>
    </row>
    <row r="278" spans="1:11" x14ac:dyDescent="0.25">
      <c r="A278" s="2" t="s">
        <v>552</v>
      </c>
      <c r="B278" s="2" t="s">
        <v>553</v>
      </c>
      <c r="D278" s="4" t="s">
        <v>1484</v>
      </c>
      <c r="E278" s="3" t="str">
        <f t="shared" si="18"/>
        <v xml:space="preserve">QK_MIDI_NOTE_B_0                             </v>
      </c>
      <c r="F278" s="3" t="s">
        <v>1472</v>
      </c>
      <c r="G278" s="3" t="str">
        <f t="shared" si="19"/>
        <v>0x710E</v>
      </c>
      <c r="H278" s="3" t="s">
        <v>1483</v>
      </c>
      <c r="I278" s="3" t="str">
        <f t="shared" si="20"/>
        <v/>
      </c>
      <c r="J278" s="5" t="s">
        <v>1482</v>
      </c>
      <c r="K278" s="2" t="str">
        <f t="shared" si="21"/>
        <v/>
      </c>
    </row>
    <row r="279" spans="1:11" x14ac:dyDescent="0.25">
      <c r="A279" s="2" t="s">
        <v>554</v>
      </c>
      <c r="B279" s="2" t="s">
        <v>555</v>
      </c>
      <c r="D279" s="4" t="s">
        <v>1484</v>
      </c>
      <c r="E279" s="3" t="str">
        <f t="shared" si="18"/>
        <v xml:space="preserve">QK_MIDI_NOTE_C_1                             </v>
      </c>
      <c r="F279" s="3" t="s">
        <v>1472</v>
      </c>
      <c r="G279" s="3" t="str">
        <f t="shared" si="19"/>
        <v>0x710F</v>
      </c>
      <c r="H279" s="3" t="s">
        <v>1483</v>
      </c>
      <c r="I279" s="3" t="str">
        <f t="shared" si="20"/>
        <v/>
      </c>
      <c r="J279" s="5" t="s">
        <v>1482</v>
      </c>
      <c r="K279" s="2" t="str">
        <f t="shared" si="21"/>
        <v/>
      </c>
    </row>
    <row r="280" spans="1:11" x14ac:dyDescent="0.25">
      <c r="A280" s="2" t="s">
        <v>556</v>
      </c>
      <c r="B280" s="2" t="s">
        <v>557</v>
      </c>
      <c r="D280" s="4" t="s">
        <v>1484</v>
      </c>
      <c r="E280" s="3" t="str">
        <f t="shared" si="18"/>
        <v xml:space="preserve">QK_MIDI_NOTE_C_SHARP_1                       </v>
      </c>
      <c r="F280" s="3" t="s">
        <v>1472</v>
      </c>
      <c r="G280" s="3" t="str">
        <f t="shared" si="19"/>
        <v>0x7110</v>
      </c>
      <c r="H280" s="3" t="s">
        <v>1483</v>
      </c>
      <c r="I280" s="3" t="str">
        <f t="shared" si="20"/>
        <v/>
      </c>
      <c r="J280" s="5" t="s">
        <v>1482</v>
      </c>
      <c r="K280" s="2" t="str">
        <f t="shared" si="21"/>
        <v/>
      </c>
    </row>
    <row r="281" spans="1:11" x14ac:dyDescent="0.25">
      <c r="A281" s="2" t="s">
        <v>558</v>
      </c>
      <c r="B281" s="2" t="s">
        <v>559</v>
      </c>
      <c r="D281" s="4" t="s">
        <v>1484</v>
      </c>
      <c r="E281" s="3" t="str">
        <f t="shared" si="18"/>
        <v xml:space="preserve">QK_MIDI_NOTE_D_1                             </v>
      </c>
      <c r="F281" s="3" t="s">
        <v>1472</v>
      </c>
      <c r="G281" s="3" t="str">
        <f t="shared" si="19"/>
        <v>0x7111</v>
      </c>
      <c r="H281" s="3" t="s">
        <v>1483</v>
      </c>
      <c r="I281" s="3" t="str">
        <f t="shared" si="20"/>
        <v/>
      </c>
      <c r="J281" s="5" t="s">
        <v>1482</v>
      </c>
      <c r="K281" s="2" t="str">
        <f t="shared" si="21"/>
        <v/>
      </c>
    </row>
    <row r="282" spans="1:11" x14ac:dyDescent="0.25">
      <c r="A282" s="2" t="s">
        <v>560</v>
      </c>
      <c r="B282" s="2" t="s">
        <v>561</v>
      </c>
      <c r="D282" s="4" t="s">
        <v>1484</v>
      </c>
      <c r="E282" s="3" t="str">
        <f t="shared" si="18"/>
        <v xml:space="preserve">QK_MIDI_NOTE_D_SHARP_1                       </v>
      </c>
      <c r="F282" s="3" t="s">
        <v>1472</v>
      </c>
      <c r="G282" s="3" t="str">
        <f t="shared" si="19"/>
        <v>0x7112</v>
      </c>
      <c r="H282" s="3" t="s">
        <v>1483</v>
      </c>
      <c r="I282" s="3" t="str">
        <f t="shared" si="20"/>
        <v/>
      </c>
      <c r="J282" s="5" t="s">
        <v>1482</v>
      </c>
      <c r="K282" s="2" t="str">
        <f t="shared" si="21"/>
        <v/>
      </c>
    </row>
    <row r="283" spans="1:11" x14ac:dyDescent="0.25">
      <c r="A283" s="2" t="s">
        <v>562</v>
      </c>
      <c r="B283" s="2" t="s">
        <v>563</v>
      </c>
      <c r="D283" s="4" t="s">
        <v>1484</v>
      </c>
      <c r="E283" s="3" t="str">
        <f t="shared" si="18"/>
        <v xml:space="preserve">QK_MIDI_NOTE_E_1                             </v>
      </c>
      <c r="F283" s="3" t="s">
        <v>1472</v>
      </c>
      <c r="G283" s="3" t="str">
        <f t="shared" si="19"/>
        <v>0x7113</v>
      </c>
      <c r="H283" s="3" t="s">
        <v>1483</v>
      </c>
      <c r="I283" s="3" t="str">
        <f t="shared" si="20"/>
        <v/>
      </c>
      <c r="J283" s="5" t="s">
        <v>1482</v>
      </c>
      <c r="K283" s="2" t="str">
        <f t="shared" si="21"/>
        <v/>
      </c>
    </row>
    <row r="284" spans="1:11" x14ac:dyDescent="0.25">
      <c r="A284" s="2" t="s">
        <v>564</v>
      </c>
      <c r="B284" s="2" t="s">
        <v>565</v>
      </c>
      <c r="D284" s="4" t="s">
        <v>1484</v>
      </c>
      <c r="E284" s="3" t="str">
        <f t="shared" si="18"/>
        <v xml:space="preserve">QK_MIDI_NOTE_F_1                             </v>
      </c>
      <c r="F284" s="3" t="s">
        <v>1472</v>
      </c>
      <c r="G284" s="3" t="str">
        <f t="shared" si="19"/>
        <v>0x7114</v>
      </c>
      <c r="H284" s="3" t="s">
        <v>1483</v>
      </c>
      <c r="I284" s="3" t="str">
        <f t="shared" si="20"/>
        <v/>
      </c>
      <c r="J284" s="5" t="s">
        <v>1482</v>
      </c>
      <c r="K284" s="2" t="str">
        <f t="shared" si="21"/>
        <v/>
      </c>
    </row>
    <row r="285" spans="1:11" x14ac:dyDescent="0.25">
      <c r="A285" s="2" t="s">
        <v>566</v>
      </c>
      <c r="B285" s="2" t="s">
        <v>567</v>
      </c>
      <c r="D285" s="4" t="s">
        <v>1484</v>
      </c>
      <c r="E285" s="3" t="str">
        <f t="shared" si="18"/>
        <v xml:space="preserve">QK_MIDI_NOTE_F_SHARP_1                       </v>
      </c>
      <c r="F285" s="3" t="s">
        <v>1472</v>
      </c>
      <c r="G285" s="3" t="str">
        <f t="shared" si="19"/>
        <v>0x7115</v>
      </c>
      <c r="H285" s="3" t="s">
        <v>1483</v>
      </c>
      <c r="I285" s="3" t="str">
        <f t="shared" si="20"/>
        <v/>
      </c>
      <c r="J285" s="5" t="s">
        <v>1482</v>
      </c>
      <c r="K285" s="2" t="str">
        <f t="shared" si="21"/>
        <v/>
      </c>
    </row>
    <row r="286" spans="1:11" x14ac:dyDescent="0.25">
      <c r="A286" s="2" t="s">
        <v>568</v>
      </c>
      <c r="B286" s="2" t="s">
        <v>569</v>
      </c>
      <c r="D286" s="4" t="s">
        <v>1484</v>
      </c>
      <c r="E286" s="3" t="str">
        <f t="shared" si="18"/>
        <v xml:space="preserve">QK_MIDI_NOTE_G_1                             </v>
      </c>
      <c r="F286" s="3" t="s">
        <v>1472</v>
      </c>
      <c r="G286" s="3" t="str">
        <f t="shared" si="19"/>
        <v>0x7116</v>
      </c>
      <c r="H286" s="3" t="s">
        <v>1483</v>
      </c>
      <c r="I286" s="3" t="str">
        <f t="shared" si="20"/>
        <v/>
      </c>
      <c r="J286" s="5" t="s">
        <v>1482</v>
      </c>
      <c r="K286" s="2" t="str">
        <f t="shared" si="21"/>
        <v/>
      </c>
    </row>
    <row r="287" spans="1:11" x14ac:dyDescent="0.25">
      <c r="A287" s="2" t="s">
        <v>570</v>
      </c>
      <c r="B287" s="2" t="s">
        <v>571</v>
      </c>
      <c r="D287" s="4" t="s">
        <v>1484</v>
      </c>
      <c r="E287" s="3" t="str">
        <f t="shared" si="18"/>
        <v xml:space="preserve">QK_MIDI_NOTE_G_SHARP_1                       </v>
      </c>
      <c r="F287" s="3" t="s">
        <v>1472</v>
      </c>
      <c r="G287" s="3" t="str">
        <f t="shared" si="19"/>
        <v>0x7117</v>
      </c>
      <c r="H287" s="3" t="s">
        <v>1483</v>
      </c>
      <c r="I287" s="3" t="str">
        <f t="shared" si="20"/>
        <v/>
      </c>
      <c r="J287" s="5" t="s">
        <v>1482</v>
      </c>
      <c r="K287" s="2" t="str">
        <f t="shared" si="21"/>
        <v/>
      </c>
    </row>
    <row r="288" spans="1:11" x14ac:dyDescent="0.25">
      <c r="A288" s="2" t="s">
        <v>572</v>
      </c>
      <c r="B288" s="2" t="s">
        <v>573</v>
      </c>
      <c r="D288" s="4" t="s">
        <v>1484</v>
      </c>
      <c r="E288" s="3" t="str">
        <f t="shared" si="18"/>
        <v xml:space="preserve">QK_MIDI_NOTE_A_1                             </v>
      </c>
      <c r="F288" s="3" t="s">
        <v>1472</v>
      </c>
      <c r="G288" s="3" t="str">
        <f t="shared" si="19"/>
        <v>0x7118</v>
      </c>
      <c r="H288" s="3" t="s">
        <v>1483</v>
      </c>
      <c r="I288" s="3" t="str">
        <f t="shared" si="20"/>
        <v/>
      </c>
      <c r="J288" s="5" t="s">
        <v>1482</v>
      </c>
      <c r="K288" s="2" t="str">
        <f t="shared" si="21"/>
        <v/>
      </c>
    </row>
    <row r="289" spans="1:11" x14ac:dyDescent="0.25">
      <c r="A289" s="2" t="s">
        <v>574</v>
      </c>
      <c r="B289" s="2" t="s">
        <v>575</v>
      </c>
      <c r="D289" s="4" t="s">
        <v>1484</v>
      </c>
      <c r="E289" s="3" t="str">
        <f t="shared" si="18"/>
        <v xml:space="preserve">QK_MIDI_NOTE_A_SHARP_1                       </v>
      </c>
      <c r="F289" s="3" t="s">
        <v>1472</v>
      </c>
      <c r="G289" s="3" t="str">
        <f t="shared" si="19"/>
        <v>0x7119</v>
      </c>
      <c r="H289" s="3" t="s">
        <v>1483</v>
      </c>
      <c r="I289" s="3" t="str">
        <f t="shared" si="20"/>
        <v/>
      </c>
      <c r="J289" s="5" t="s">
        <v>1482</v>
      </c>
      <c r="K289" s="2" t="str">
        <f t="shared" si="21"/>
        <v/>
      </c>
    </row>
    <row r="290" spans="1:11" x14ac:dyDescent="0.25">
      <c r="A290" s="2" t="s">
        <v>576</v>
      </c>
      <c r="B290" s="2" t="s">
        <v>577</v>
      </c>
      <c r="D290" s="4" t="s">
        <v>1484</v>
      </c>
      <c r="E290" s="3" t="str">
        <f t="shared" si="18"/>
        <v xml:space="preserve">QK_MIDI_NOTE_B_1                             </v>
      </c>
      <c r="F290" s="3" t="s">
        <v>1472</v>
      </c>
      <c r="G290" s="3" t="str">
        <f t="shared" si="19"/>
        <v>0x711A</v>
      </c>
      <c r="H290" s="3" t="s">
        <v>1483</v>
      </c>
      <c r="I290" s="3" t="str">
        <f t="shared" si="20"/>
        <v/>
      </c>
      <c r="J290" s="5" t="s">
        <v>1482</v>
      </c>
      <c r="K290" s="2" t="str">
        <f t="shared" si="21"/>
        <v/>
      </c>
    </row>
    <row r="291" spans="1:11" x14ac:dyDescent="0.25">
      <c r="A291" s="2" t="s">
        <v>578</v>
      </c>
      <c r="B291" s="2" t="s">
        <v>579</v>
      </c>
      <c r="D291" s="4" t="s">
        <v>1484</v>
      </c>
      <c r="E291" s="3" t="str">
        <f t="shared" si="18"/>
        <v xml:space="preserve">QK_MIDI_NOTE_C_2                             </v>
      </c>
      <c r="F291" s="3" t="s">
        <v>1472</v>
      </c>
      <c r="G291" s="3" t="str">
        <f t="shared" si="19"/>
        <v>0x711B</v>
      </c>
      <c r="H291" s="3" t="s">
        <v>1483</v>
      </c>
      <c r="I291" s="3" t="str">
        <f t="shared" si="20"/>
        <v/>
      </c>
      <c r="J291" s="5" t="s">
        <v>1482</v>
      </c>
      <c r="K291" s="2" t="str">
        <f t="shared" si="21"/>
        <v/>
      </c>
    </row>
    <row r="292" spans="1:11" x14ac:dyDescent="0.25">
      <c r="A292" s="2" t="s">
        <v>580</v>
      </c>
      <c r="B292" s="2" t="s">
        <v>581</v>
      </c>
      <c r="D292" s="4" t="s">
        <v>1484</v>
      </c>
      <c r="E292" s="3" t="str">
        <f t="shared" si="18"/>
        <v xml:space="preserve">QK_MIDI_NOTE_C_SHARP_2                       </v>
      </c>
      <c r="F292" s="3" t="s">
        <v>1472</v>
      </c>
      <c r="G292" s="3" t="str">
        <f t="shared" si="19"/>
        <v>0x711C</v>
      </c>
      <c r="H292" s="3" t="s">
        <v>1483</v>
      </c>
      <c r="I292" s="3" t="str">
        <f t="shared" si="20"/>
        <v/>
      </c>
      <c r="J292" s="5" t="s">
        <v>1482</v>
      </c>
      <c r="K292" s="2" t="str">
        <f t="shared" si="21"/>
        <v/>
      </c>
    </row>
    <row r="293" spans="1:11" x14ac:dyDescent="0.25">
      <c r="A293" s="2" t="s">
        <v>582</v>
      </c>
      <c r="B293" s="2" t="s">
        <v>583</v>
      </c>
      <c r="D293" s="4" t="s">
        <v>1484</v>
      </c>
      <c r="E293" s="3" t="str">
        <f t="shared" si="18"/>
        <v xml:space="preserve">QK_MIDI_NOTE_D_2                             </v>
      </c>
      <c r="F293" s="3" t="s">
        <v>1472</v>
      </c>
      <c r="G293" s="3" t="str">
        <f t="shared" si="19"/>
        <v>0x711D</v>
      </c>
      <c r="H293" s="3" t="s">
        <v>1483</v>
      </c>
      <c r="I293" s="3" t="str">
        <f t="shared" si="20"/>
        <v/>
      </c>
      <c r="J293" s="5" t="s">
        <v>1482</v>
      </c>
      <c r="K293" s="2" t="str">
        <f t="shared" si="21"/>
        <v/>
      </c>
    </row>
    <row r="294" spans="1:11" x14ac:dyDescent="0.25">
      <c r="A294" s="2" t="s">
        <v>584</v>
      </c>
      <c r="B294" s="2" t="s">
        <v>585</v>
      </c>
      <c r="D294" s="4" t="s">
        <v>1484</v>
      </c>
      <c r="E294" s="3" t="str">
        <f t="shared" si="18"/>
        <v xml:space="preserve">QK_MIDI_NOTE_D_SHARP_2                       </v>
      </c>
      <c r="F294" s="3" t="s">
        <v>1472</v>
      </c>
      <c r="G294" s="3" t="str">
        <f t="shared" si="19"/>
        <v>0x711E</v>
      </c>
      <c r="H294" s="3" t="s">
        <v>1483</v>
      </c>
      <c r="I294" s="3" t="str">
        <f t="shared" si="20"/>
        <v/>
      </c>
      <c r="J294" s="5" t="s">
        <v>1482</v>
      </c>
      <c r="K294" s="2" t="str">
        <f t="shared" si="21"/>
        <v/>
      </c>
    </row>
    <row r="295" spans="1:11" x14ac:dyDescent="0.25">
      <c r="A295" s="2" t="s">
        <v>586</v>
      </c>
      <c r="B295" s="2" t="s">
        <v>587</v>
      </c>
      <c r="D295" s="4" t="s">
        <v>1484</v>
      </c>
      <c r="E295" s="3" t="str">
        <f t="shared" si="18"/>
        <v xml:space="preserve">QK_MIDI_NOTE_E_2                             </v>
      </c>
      <c r="F295" s="3" t="s">
        <v>1472</v>
      </c>
      <c r="G295" s="3" t="str">
        <f t="shared" si="19"/>
        <v>0x711F</v>
      </c>
      <c r="H295" s="3" t="s">
        <v>1483</v>
      </c>
      <c r="I295" s="3" t="str">
        <f t="shared" si="20"/>
        <v/>
      </c>
      <c r="J295" s="5" t="s">
        <v>1482</v>
      </c>
      <c r="K295" s="2" t="str">
        <f t="shared" si="21"/>
        <v/>
      </c>
    </row>
    <row r="296" spans="1:11" x14ac:dyDescent="0.25">
      <c r="A296" s="2" t="s">
        <v>588</v>
      </c>
      <c r="B296" s="2" t="s">
        <v>589</v>
      </c>
      <c r="D296" s="4" t="s">
        <v>1484</v>
      </c>
      <c r="E296" s="3" t="str">
        <f t="shared" si="18"/>
        <v xml:space="preserve">QK_MIDI_NOTE_F_2                             </v>
      </c>
      <c r="F296" s="3" t="s">
        <v>1472</v>
      </c>
      <c r="G296" s="3" t="str">
        <f t="shared" si="19"/>
        <v>0x7120</v>
      </c>
      <c r="H296" s="3" t="s">
        <v>1483</v>
      </c>
      <c r="I296" s="3" t="str">
        <f t="shared" si="20"/>
        <v/>
      </c>
      <c r="J296" s="5" t="s">
        <v>1482</v>
      </c>
      <c r="K296" s="2" t="str">
        <f t="shared" si="21"/>
        <v/>
      </c>
    </row>
    <row r="297" spans="1:11" x14ac:dyDescent="0.25">
      <c r="A297" s="2" t="s">
        <v>590</v>
      </c>
      <c r="B297" s="2" t="s">
        <v>591</v>
      </c>
      <c r="D297" s="4" t="s">
        <v>1484</v>
      </c>
      <c r="E297" s="3" t="str">
        <f t="shared" si="18"/>
        <v xml:space="preserve">QK_MIDI_NOTE_F_SHARP_2                       </v>
      </c>
      <c r="F297" s="3" t="s">
        <v>1472</v>
      </c>
      <c r="G297" s="3" t="str">
        <f t="shared" si="19"/>
        <v>0x7121</v>
      </c>
      <c r="H297" s="3" t="s">
        <v>1483</v>
      </c>
      <c r="I297" s="3" t="str">
        <f t="shared" si="20"/>
        <v/>
      </c>
      <c r="J297" s="5" t="s">
        <v>1482</v>
      </c>
      <c r="K297" s="2" t="str">
        <f t="shared" si="21"/>
        <v/>
      </c>
    </row>
    <row r="298" spans="1:11" x14ac:dyDescent="0.25">
      <c r="A298" s="2" t="s">
        <v>592</v>
      </c>
      <c r="B298" s="2" t="s">
        <v>593</v>
      </c>
      <c r="D298" s="4" t="s">
        <v>1484</v>
      </c>
      <c r="E298" s="3" t="str">
        <f t="shared" si="18"/>
        <v xml:space="preserve">QK_MIDI_NOTE_G_2                             </v>
      </c>
      <c r="F298" s="3" t="s">
        <v>1472</v>
      </c>
      <c r="G298" s="3" t="str">
        <f t="shared" si="19"/>
        <v>0x7122</v>
      </c>
      <c r="H298" s="3" t="s">
        <v>1483</v>
      </c>
      <c r="I298" s="3" t="str">
        <f t="shared" si="20"/>
        <v/>
      </c>
      <c r="J298" s="5" t="s">
        <v>1482</v>
      </c>
      <c r="K298" s="2" t="str">
        <f t="shared" si="21"/>
        <v/>
      </c>
    </row>
    <row r="299" spans="1:11" x14ac:dyDescent="0.25">
      <c r="A299" s="2" t="s">
        <v>594</v>
      </c>
      <c r="B299" s="2" t="s">
        <v>595</v>
      </c>
      <c r="D299" s="4" t="s">
        <v>1484</v>
      </c>
      <c r="E299" s="3" t="str">
        <f t="shared" si="18"/>
        <v xml:space="preserve">QK_MIDI_NOTE_G_SHARP_2                       </v>
      </c>
      <c r="F299" s="3" t="s">
        <v>1472</v>
      </c>
      <c r="G299" s="3" t="str">
        <f t="shared" si="19"/>
        <v>0x7123</v>
      </c>
      <c r="H299" s="3" t="s">
        <v>1483</v>
      </c>
      <c r="I299" s="3" t="str">
        <f t="shared" si="20"/>
        <v/>
      </c>
      <c r="J299" s="5" t="s">
        <v>1482</v>
      </c>
      <c r="K299" s="2" t="str">
        <f t="shared" si="21"/>
        <v/>
      </c>
    </row>
    <row r="300" spans="1:11" x14ac:dyDescent="0.25">
      <c r="A300" s="2" t="s">
        <v>596</v>
      </c>
      <c r="B300" s="2" t="s">
        <v>597</v>
      </c>
      <c r="D300" s="4" t="s">
        <v>1484</v>
      </c>
      <c r="E300" s="3" t="str">
        <f t="shared" si="18"/>
        <v xml:space="preserve">QK_MIDI_NOTE_A_2                             </v>
      </c>
      <c r="F300" s="3" t="s">
        <v>1472</v>
      </c>
      <c r="G300" s="3" t="str">
        <f t="shared" si="19"/>
        <v>0x7124</v>
      </c>
      <c r="H300" s="3" t="s">
        <v>1483</v>
      </c>
      <c r="I300" s="3" t="str">
        <f t="shared" si="20"/>
        <v/>
      </c>
      <c r="J300" s="5" t="s">
        <v>1482</v>
      </c>
      <c r="K300" s="2" t="str">
        <f t="shared" si="21"/>
        <v/>
      </c>
    </row>
    <row r="301" spans="1:11" x14ac:dyDescent="0.25">
      <c r="A301" s="2" t="s">
        <v>598</v>
      </c>
      <c r="B301" s="2" t="s">
        <v>599</v>
      </c>
      <c r="D301" s="4" t="s">
        <v>1484</v>
      </c>
      <c r="E301" s="3" t="str">
        <f t="shared" si="18"/>
        <v xml:space="preserve">QK_MIDI_NOTE_A_SHARP_2                       </v>
      </c>
      <c r="F301" s="3" t="s">
        <v>1472</v>
      </c>
      <c r="G301" s="3" t="str">
        <f t="shared" si="19"/>
        <v>0x7125</v>
      </c>
      <c r="H301" s="3" t="s">
        <v>1483</v>
      </c>
      <c r="I301" s="3" t="str">
        <f t="shared" si="20"/>
        <v/>
      </c>
      <c r="J301" s="5" t="s">
        <v>1482</v>
      </c>
      <c r="K301" s="2" t="str">
        <f t="shared" si="21"/>
        <v/>
      </c>
    </row>
    <row r="302" spans="1:11" x14ac:dyDescent="0.25">
      <c r="A302" s="2" t="s">
        <v>600</v>
      </c>
      <c r="B302" s="2" t="s">
        <v>601</v>
      </c>
      <c r="D302" s="4" t="s">
        <v>1484</v>
      </c>
      <c r="E302" s="3" t="str">
        <f t="shared" si="18"/>
        <v xml:space="preserve">QK_MIDI_NOTE_B_2                             </v>
      </c>
      <c r="F302" s="3" t="s">
        <v>1472</v>
      </c>
      <c r="G302" s="3" t="str">
        <f t="shared" si="19"/>
        <v>0x7126</v>
      </c>
      <c r="H302" s="3" t="s">
        <v>1483</v>
      </c>
      <c r="I302" s="3" t="str">
        <f t="shared" si="20"/>
        <v/>
      </c>
      <c r="J302" s="5" t="s">
        <v>1482</v>
      </c>
      <c r="K302" s="2" t="str">
        <f t="shared" si="21"/>
        <v/>
      </c>
    </row>
    <row r="303" spans="1:11" x14ac:dyDescent="0.25">
      <c r="A303" s="2" t="s">
        <v>602</v>
      </c>
      <c r="B303" s="2" t="s">
        <v>603</v>
      </c>
      <c r="D303" s="4" t="s">
        <v>1484</v>
      </c>
      <c r="E303" s="3" t="str">
        <f t="shared" si="18"/>
        <v xml:space="preserve">QK_MIDI_NOTE_C_3                             </v>
      </c>
      <c r="F303" s="3" t="s">
        <v>1472</v>
      </c>
      <c r="G303" s="3" t="str">
        <f t="shared" si="19"/>
        <v>0x7127</v>
      </c>
      <c r="H303" s="3" t="s">
        <v>1483</v>
      </c>
      <c r="I303" s="3" t="str">
        <f t="shared" si="20"/>
        <v/>
      </c>
      <c r="J303" s="5" t="s">
        <v>1482</v>
      </c>
      <c r="K303" s="2" t="str">
        <f t="shared" si="21"/>
        <v/>
      </c>
    </row>
    <row r="304" spans="1:11" x14ac:dyDescent="0.25">
      <c r="A304" s="2" t="s">
        <v>604</v>
      </c>
      <c r="B304" s="2" t="s">
        <v>605</v>
      </c>
      <c r="D304" s="4" t="s">
        <v>1484</v>
      </c>
      <c r="E304" s="3" t="str">
        <f t="shared" si="18"/>
        <v xml:space="preserve">QK_MIDI_NOTE_C_SHARP_3                       </v>
      </c>
      <c r="F304" s="3" t="s">
        <v>1472</v>
      </c>
      <c r="G304" s="3" t="str">
        <f t="shared" si="19"/>
        <v>0x7128</v>
      </c>
      <c r="H304" s="3" t="s">
        <v>1483</v>
      </c>
      <c r="I304" s="3" t="str">
        <f t="shared" si="20"/>
        <v/>
      </c>
      <c r="J304" s="5" t="s">
        <v>1482</v>
      </c>
      <c r="K304" s="2" t="str">
        <f t="shared" si="21"/>
        <v/>
      </c>
    </row>
    <row r="305" spans="1:11" x14ac:dyDescent="0.25">
      <c r="A305" s="2" t="s">
        <v>606</v>
      </c>
      <c r="B305" s="2" t="s">
        <v>607</v>
      </c>
      <c r="D305" s="4" t="s">
        <v>1484</v>
      </c>
      <c r="E305" s="3" t="str">
        <f t="shared" si="18"/>
        <v xml:space="preserve">QK_MIDI_NOTE_D_3                             </v>
      </c>
      <c r="F305" s="3" t="s">
        <v>1472</v>
      </c>
      <c r="G305" s="3" t="str">
        <f t="shared" si="19"/>
        <v>0x7129</v>
      </c>
      <c r="H305" s="3" t="s">
        <v>1483</v>
      </c>
      <c r="I305" s="3" t="str">
        <f t="shared" si="20"/>
        <v/>
      </c>
      <c r="J305" s="5" t="s">
        <v>1482</v>
      </c>
      <c r="K305" s="2" t="str">
        <f t="shared" si="21"/>
        <v/>
      </c>
    </row>
    <row r="306" spans="1:11" x14ac:dyDescent="0.25">
      <c r="A306" s="2" t="s">
        <v>608</v>
      </c>
      <c r="B306" s="2" t="s">
        <v>609</v>
      </c>
      <c r="D306" s="4" t="s">
        <v>1484</v>
      </c>
      <c r="E306" s="3" t="str">
        <f t="shared" si="18"/>
        <v xml:space="preserve">QK_MIDI_NOTE_D_SHARP_3                       </v>
      </c>
      <c r="F306" s="3" t="s">
        <v>1472</v>
      </c>
      <c r="G306" s="3" t="str">
        <f t="shared" si="19"/>
        <v>0x712A</v>
      </c>
      <c r="H306" s="3" t="s">
        <v>1483</v>
      </c>
      <c r="I306" s="3" t="str">
        <f t="shared" si="20"/>
        <v/>
      </c>
      <c r="J306" s="5" t="s">
        <v>1482</v>
      </c>
      <c r="K306" s="2" t="str">
        <f t="shared" si="21"/>
        <v/>
      </c>
    </row>
    <row r="307" spans="1:11" x14ac:dyDescent="0.25">
      <c r="A307" s="2" t="s">
        <v>610</v>
      </c>
      <c r="B307" s="2" t="s">
        <v>611</v>
      </c>
      <c r="D307" s="4" t="s">
        <v>1484</v>
      </c>
      <c r="E307" s="3" t="str">
        <f t="shared" si="18"/>
        <v xml:space="preserve">QK_MIDI_NOTE_E_3                             </v>
      </c>
      <c r="F307" s="3" t="s">
        <v>1472</v>
      </c>
      <c r="G307" s="3" t="str">
        <f t="shared" si="19"/>
        <v>0x712B</v>
      </c>
      <c r="H307" s="3" t="s">
        <v>1483</v>
      </c>
      <c r="I307" s="3" t="str">
        <f t="shared" si="20"/>
        <v/>
      </c>
      <c r="J307" s="5" t="s">
        <v>1482</v>
      </c>
      <c r="K307" s="2" t="str">
        <f t="shared" si="21"/>
        <v/>
      </c>
    </row>
    <row r="308" spans="1:11" x14ac:dyDescent="0.25">
      <c r="A308" s="2" t="s">
        <v>612</v>
      </c>
      <c r="B308" s="2" t="s">
        <v>613</v>
      </c>
      <c r="D308" s="4" t="s">
        <v>1484</v>
      </c>
      <c r="E308" s="3" t="str">
        <f t="shared" si="18"/>
        <v xml:space="preserve">QK_MIDI_NOTE_F_3                             </v>
      </c>
      <c r="F308" s="3" t="s">
        <v>1472</v>
      </c>
      <c r="G308" s="3" t="str">
        <f t="shared" si="19"/>
        <v>0x712C</v>
      </c>
      <c r="H308" s="3" t="s">
        <v>1483</v>
      </c>
      <c r="I308" s="3" t="str">
        <f t="shared" si="20"/>
        <v/>
      </c>
      <c r="J308" s="5" t="s">
        <v>1482</v>
      </c>
      <c r="K308" s="2" t="str">
        <f t="shared" si="21"/>
        <v/>
      </c>
    </row>
    <row r="309" spans="1:11" x14ac:dyDescent="0.25">
      <c r="A309" s="2" t="s">
        <v>614</v>
      </c>
      <c r="B309" s="2" t="s">
        <v>615</v>
      </c>
      <c r="D309" s="4" t="s">
        <v>1484</v>
      </c>
      <c r="E309" s="3" t="str">
        <f t="shared" si="18"/>
        <v xml:space="preserve">QK_MIDI_NOTE_F_SHARP_3                       </v>
      </c>
      <c r="F309" s="3" t="s">
        <v>1472</v>
      </c>
      <c r="G309" s="3" t="str">
        <f t="shared" si="19"/>
        <v>0x712D</v>
      </c>
      <c r="H309" s="3" t="s">
        <v>1483</v>
      </c>
      <c r="I309" s="3" t="str">
        <f t="shared" si="20"/>
        <v/>
      </c>
      <c r="J309" s="5" t="s">
        <v>1482</v>
      </c>
      <c r="K309" s="2" t="str">
        <f t="shared" si="21"/>
        <v/>
      </c>
    </row>
    <row r="310" spans="1:11" x14ac:dyDescent="0.25">
      <c r="A310" s="2" t="s">
        <v>616</v>
      </c>
      <c r="B310" s="2" t="s">
        <v>617</v>
      </c>
      <c r="D310" s="4" t="s">
        <v>1484</v>
      </c>
      <c r="E310" s="3" t="str">
        <f t="shared" si="18"/>
        <v xml:space="preserve">QK_MIDI_NOTE_G_3                             </v>
      </c>
      <c r="F310" s="3" t="s">
        <v>1472</v>
      </c>
      <c r="G310" s="3" t="str">
        <f t="shared" si="19"/>
        <v>0x712E</v>
      </c>
      <c r="H310" s="3" t="s">
        <v>1483</v>
      </c>
      <c r="I310" s="3" t="str">
        <f t="shared" si="20"/>
        <v/>
      </c>
      <c r="J310" s="5" t="s">
        <v>1482</v>
      </c>
      <c r="K310" s="2" t="str">
        <f t="shared" si="21"/>
        <v/>
      </c>
    </row>
    <row r="311" spans="1:11" x14ac:dyDescent="0.25">
      <c r="A311" s="2" t="s">
        <v>618</v>
      </c>
      <c r="B311" s="2" t="s">
        <v>619</v>
      </c>
      <c r="D311" s="4" t="s">
        <v>1484</v>
      </c>
      <c r="E311" s="3" t="str">
        <f t="shared" si="18"/>
        <v xml:space="preserve">QK_MIDI_NOTE_G_SHARP_3                       </v>
      </c>
      <c r="F311" s="3" t="s">
        <v>1472</v>
      </c>
      <c r="G311" s="3" t="str">
        <f t="shared" si="19"/>
        <v>0x712F</v>
      </c>
      <c r="H311" s="3" t="s">
        <v>1483</v>
      </c>
      <c r="I311" s="3" t="str">
        <f t="shared" si="20"/>
        <v/>
      </c>
      <c r="J311" s="5" t="s">
        <v>1482</v>
      </c>
      <c r="K311" s="2" t="str">
        <f t="shared" si="21"/>
        <v/>
      </c>
    </row>
    <row r="312" spans="1:11" x14ac:dyDescent="0.25">
      <c r="A312" s="2" t="s">
        <v>620</v>
      </c>
      <c r="B312" s="2" t="s">
        <v>621</v>
      </c>
      <c r="D312" s="4" t="s">
        <v>1484</v>
      </c>
      <c r="E312" s="3" t="str">
        <f t="shared" si="18"/>
        <v xml:space="preserve">QK_MIDI_NOTE_A_3                             </v>
      </c>
      <c r="F312" s="3" t="s">
        <v>1472</v>
      </c>
      <c r="G312" s="3" t="str">
        <f t="shared" si="19"/>
        <v>0x7130</v>
      </c>
      <c r="H312" s="3" t="s">
        <v>1483</v>
      </c>
      <c r="I312" s="3" t="str">
        <f t="shared" si="20"/>
        <v/>
      </c>
      <c r="J312" s="5" t="s">
        <v>1482</v>
      </c>
      <c r="K312" s="2" t="str">
        <f t="shared" si="21"/>
        <v/>
      </c>
    </row>
    <row r="313" spans="1:11" x14ac:dyDescent="0.25">
      <c r="A313" s="2" t="s">
        <v>622</v>
      </c>
      <c r="B313" s="2" t="s">
        <v>623</v>
      </c>
      <c r="D313" s="4" t="s">
        <v>1484</v>
      </c>
      <c r="E313" s="3" t="str">
        <f t="shared" si="18"/>
        <v xml:space="preserve">QK_MIDI_NOTE_A_SHARP_3                       </v>
      </c>
      <c r="F313" s="3" t="s">
        <v>1472</v>
      </c>
      <c r="G313" s="3" t="str">
        <f t="shared" si="19"/>
        <v>0x7131</v>
      </c>
      <c r="H313" s="3" t="s">
        <v>1483</v>
      </c>
      <c r="I313" s="3" t="str">
        <f t="shared" si="20"/>
        <v/>
      </c>
      <c r="J313" s="5" t="s">
        <v>1482</v>
      </c>
      <c r="K313" s="2" t="str">
        <f t="shared" si="21"/>
        <v/>
      </c>
    </row>
    <row r="314" spans="1:11" x14ac:dyDescent="0.25">
      <c r="A314" s="2" t="s">
        <v>624</v>
      </c>
      <c r="B314" s="2" t="s">
        <v>625</v>
      </c>
      <c r="D314" s="4" t="s">
        <v>1484</v>
      </c>
      <c r="E314" s="3" t="str">
        <f t="shared" si="18"/>
        <v xml:space="preserve">QK_MIDI_NOTE_B_3                             </v>
      </c>
      <c r="F314" s="3" t="s">
        <v>1472</v>
      </c>
      <c r="G314" s="3" t="str">
        <f t="shared" si="19"/>
        <v>0x7132</v>
      </c>
      <c r="H314" s="3" t="s">
        <v>1483</v>
      </c>
      <c r="I314" s="3" t="str">
        <f t="shared" si="20"/>
        <v/>
      </c>
      <c r="J314" s="5" t="s">
        <v>1482</v>
      </c>
      <c r="K314" s="2" t="str">
        <f t="shared" si="21"/>
        <v/>
      </c>
    </row>
    <row r="315" spans="1:11" x14ac:dyDescent="0.25">
      <c r="A315" s="2" t="s">
        <v>626</v>
      </c>
      <c r="B315" s="2" t="s">
        <v>627</v>
      </c>
      <c r="D315" s="4" t="s">
        <v>1484</v>
      </c>
      <c r="E315" s="3" t="str">
        <f t="shared" si="18"/>
        <v xml:space="preserve">QK_MIDI_NOTE_C_4                             </v>
      </c>
      <c r="F315" s="3" t="s">
        <v>1472</v>
      </c>
      <c r="G315" s="3" t="str">
        <f t="shared" si="19"/>
        <v>0x7133</v>
      </c>
      <c r="H315" s="3" t="s">
        <v>1483</v>
      </c>
      <c r="I315" s="3" t="str">
        <f t="shared" si="20"/>
        <v/>
      </c>
      <c r="J315" s="5" t="s">
        <v>1482</v>
      </c>
      <c r="K315" s="2" t="str">
        <f t="shared" si="21"/>
        <v/>
      </c>
    </row>
    <row r="316" spans="1:11" x14ac:dyDescent="0.25">
      <c r="A316" s="2" t="s">
        <v>628</v>
      </c>
      <c r="B316" s="2" t="s">
        <v>629</v>
      </c>
      <c r="D316" s="4" t="s">
        <v>1484</v>
      </c>
      <c r="E316" s="3" t="str">
        <f t="shared" si="18"/>
        <v xml:space="preserve">QK_MIDI_NOTE_C_SHARP_4                       </v>
      </c>
      <c r="F316" s="3" t="s">
        <v>1472</v>
      </c>
      <c r="G316" s="3" t="str">
        <f t="shared" si="19"/>
        <v>0x7134</v>
      </c>
      <c r="H316" s="3" t="s">
        <v>1483</v>
      </c>
      <c r="I316" s="3" t="str">
        <f t="shared" si="20"/>
        <v/>
      </c>
      <c r="J316" s="5" t="s">
        <v>1482</v>
      </c>
      <c r="K316" s="2" t="str">
        <f t="shared" si="21"/>
        <v/>
      </c>
    </row>
    <row r="317" spans="1:11" x14ac:dyDescent="0.25">
      <c r="A317" s="2" t="s">
        <v>630</v>
      </c>
      <c r="B317" s="2" t="s">
        <v>631</v>
      </c>
      <c r="D317" s="4" t="s">
        <v>1484</v>
      </c>
      <c r="E317" s="3" t="str">
        <f t="shared" si="18"/>
        <v xml:space="preserve">QK_MIDI_NOTE_D_4                             </v>
      </c>
      <c r="F317" s="3" t="s">
        <v>1472</v>
      </c>
      <c r="G317" s="3" t="str">
        <f t="shared" si="19"/>
        <v>0x7135</v>
      </c>
      <c r="H317" s="3" t="s">
        <v>1483</v>
      </c>
      <c r="I317" s="3" t="str">
        <f t="shared" si="20"/>
        <v/>
      </c>
      <c r="J317" s="5" t="s">
        <v>1482</v>
      </c>
      <c r="K317" s="2" t="str">
        <f t="shared" si="21"/>
        <v/>
      </c>
    </row>
    <row r="318" spans="1:11" x14ac:dyDescent="0.25">
      <c r="A318" s="2" t="s">
        <v>632</v>
      </c>
      <c r="B318" s="2" t="s">
        <v>633</v>
      </c>
      <c r="D318" s="4" t="s">
        <v>1484</v>
      </c>
      <c r="E318" s="3" t="str">
        <f t="shared" si="18"/>
        <v xml:space="preserve">QK_MIDI_NOTE_D_SHARP_4                       </v>
      </c>
      <c r="F318" s="3" t="s">
        <v>1472</v>
      </c>
      <c r="G318" s="3" t="str">
        <f t="shared" si="19"/>
        <v>0x7136</v>
      </c>
      <c r="H318" s="3" t="s">
        <v>1483</v>
      </c>
      <c r="I318" s="3" t="str">
        <f t="shared" si="20"/>
        <v/>
      </c>
      <c r="J318" s="5" t="s">
        <v>1482</v>
      </c>
      <c r="K318" s="2" t="str">
        <f t="shared" si="21"/>
        <v/>
      </c>
    </row>
    <row r="319" spans="1:11" x14ac:dyDescent="0.25">
      <c r="A319" s="2" t="s">
        <v>634</v>
      </c>
      <c r="B319" s="2" t="s">
        <v>635</v>
      </c>
      <c r="D319" s="4" t="s">
        <v>1484</v>
      </c>
      <c r="E319" s="3" t="str">
        <f t="shared" si="18"/>
        <v xml:space="preserve">QK_MIDI_NOTE_E_4                             </v>
      </c>
      <c r="F319" s="3" t="s">
        <v>1472</v>
      </c>
      <c r="G319" s="3" t="str">
        <f t="shared" si="19"/>
        <v>0x7137</v>
      </c>
      <c r="H319" s="3" t="s">
        <v>1483</v>
      </c>
      <c r="I319" s="3" t="str">
        <f t="shared" si="20"/>
        <v/>
      </c>
      <c r="J319" s="5" t="s">
        <v>1482</v>
      </c>
      <c r="K319" s="2" t="str">
        <f t="shared" si="21"/>
        <v/>
      </c>
    </row>
    <row r="320" spans="1:11" x14ac:dyDescent="0.25">
      <c r="A320" s="2" t="s">
        <v>636</v>
      </c>
      <c r="B320" s="2" t="s">
        <v>637</v>
      </c>
      <c r="D320" s="4" t="s">
        <v>1484</v>
      </c>
      <c r="E320" s="3" t="str">
        <f t="shared" si="18"/>
        <v xml:space="preserve">QK_MIDI_NOTE_F_4                             </v>
      </c>
      <c r="F320" s="3" t="s">
        <v>1472</v>
      </c>
      <c r="G320" s="3" t="str">
        <f t="shared" si="19"/>
        <v>0x7138</v>
      </c>
      <c r="H320" s="3" t="s">
        <v>1483</v>
      </c>
      <c r="I320" s="3" t="str">
        <f t="shared" si="20"/>
        <v/>
      </c>
      <c r="J320" s="5" t="s">
        <v>1482</v>
      </c>
      <c r="K320" s="2" t="str">
        <f t="shared" si="21"/>
        <v/>
      </c>
    </row>
    <row r="321" spans="1:11" x14ac:dyDescent="0.25">
      <c r="A321" s="2" t="s">
        <v>638</v>
      </c>
      <c r="B321" s="2" t="s">
        <v>639</v>
      </c>
      <c r="D321" s="4" t="s">
        <v>1484</v>
      </c>
      <c r="E321" s="3" t="str">
        <f t="shared" si="18"/>
        <v xml:space="preserve">QK_MIDI_NOTE_F_SHARP_4                       </v>
      </c>
      <c r="F321" s="3" t="s">
        <v>1472</v>
      </c>
      <c r="G321" s="3" t="str">
        <f t="shared" si="19"/>
        <v>0x7139</v>
      </c>
      <c r="H321" s="3" t="s">
        <v>1483</v>
      </c>
      <c r="I321" s="3" t="str">
        <f t="shared" si="20"/>
        <v/>
      </c>
      <c r="J321" s="5" t="s">
        <v>1482</v>
      </c>
      <c r="K321" s="2" t="str">
        <f t="shared" si="21"/>
        <v/>
      </c>
    </row>
    <row r="322" spans="1:11" x14ac:dyDescent="0.25">
      <c r="A322" s="2" t="s">
        <v>640</v>
      </c>
      <c r="B322" s="2" t="s">
        <v>641</v>
      </c>
      <c r="D322" s="4" t="s">
        <v>1484</v>
      </c>
      <c r="E322" s="3" t="str">
        <f t="shared" si="18"/>
        <v xml:space="preserve">QK_MIDI_NOTE_G_4                             </v>
      </c>
      <c r="F322" s="3" t="s">
        <v>1472</v>
      </c>
      <c r="G322" s="3" t="str">
        <f t="shared" si="19"/>
        <v>0x713A</v>
      </c>
      <c r="H322" s="3" t="s">
        <v>1483</v>
      </c>
      <c r="I322" s="3" t="str">
        <f t="shared" si="20"/>
        <v/>
      </c>
      <c r="J322" s="5" t="s">
        <v>1482</v>
      </c>
      <c r="K322" s="2" t="str">
        <f t="shared" si="21"/>
        <v/>
      </c>
    </row>
    <row r="323" spans="1:11" x14ac:dyDescent="0.25">
      <c r="A323" s="2" t="s">
        <v>642</v>
      </c>
      <c r="B323" s="2" t="s">
        <v>643</v>
      </c>
      <c r="D323" s="4" t="s">
        <v>1484</v>
      </c>
      <c r="E323" s="3" t="str">
        <f t="shared" ref="E323:E386" si="22">LEFT(A323 &amp; REPT(" ",$E$1),$E$1)</f>
        <v xml:space="preserve">QK_MIDI_NOTE_G_SHARP_4                       </v>
      </c>
      <c r="F323" s="3" t="s">
        <v>1472</v>
      </c>
      <c r="G323" s="3" t="str">
        <f t="shared" ref="G323:G386" si="23">B323</f>
        <v>0x713B</v>
      </c>
      <c r="H323" s="3" t="s">
        <v>1483</v>
      </c>
      <c r="I323" s="3" t="str">
        <f t="shared" ref="I323:I386" si="24">IF(C323="","",C323)</f>
        <v/>
      </c>
      <c r="J323" s="5" t="s">
        <v>1482</v>
      </c>
      <c r="K323" s="2" t="str">
        <f t="shared" ref="K323:K386" si="25">IF(I323="","",_xlfn.CONCAT(D323:J323))</f>
        <v/>
      </c>
    </row>
    <row r="324" spans="1:11" x14ac:dyDescent="0.25">
      <c r="A324" s="2" t="s">
        <v>644</v>
      </c>
      <c r="B324" s="2" t="s">
        <v>645</v>
      </c>
      <c r="D324" s="4" t="s">
        <v>1484</v>
      </c>
      <c r="E324" s="3" t="str">
        <f t="shared" si="22"/>
        <v xml:space="preserve">QK_MIDI_NOTE_A_4                             </v>
      </c>
      <c r="F324" s="3" t="s">
        <v>1472</v>
      </c>
      <c r="G324" s="3" t="str">
        <f t="shared" si="23"/>
        <v>0x713C</v>
      </c>
      <c r="H324" s="3" t="s">
        <v>1483</v>
      </c>
      <c r="I324" s="3" t="str">
        <f t="shared" si="24"/>
        <v/>
      </c>
      <c r="J324" s="5" t="s">
        <v>1482</v>
      </c>
      <c r="K324" s="2" t="str">
        <f t="shared" si="25"/>
        <v/>
      </c>
    </row>
    <row r="325" spans="1:11" x14ac:dyDescent="0.25">
      <c r="A325" s="2" t="s">
        <v>646</v>
      </c>
      <c r="B325" s="2" t="s">
        <v>647</v>
      </c>
      <c r="D325" s="4" t="s">
        <v>1484</v>
      </c>
      <c r="E325" s="3" t="str">
        <f t="shared" si="22"/>
        <v xml:space="preserve">QK_MIDI_NOTE_A_SHARP_4                       </v>
      </c>
      <c r="F325" s="3" t="s">
        <v>1472</v>
      </c>
      <c r="G325" s="3" t="str">
        <f t="shared" si="23"/>
        <v>0x713D</v>
      </c>
      <c r="H325" s="3" t="s">
        <v>1483</v>
      </c>
      <c r="I325" s="3" t="str">
        <f t="shared" si="24"/>
        <v/>
      </c>
      <c r="J325" s="5" t="s">
        <v>1482</v>
      </c>
      <c r="K325" s="2" t="str">
        <f t="shared" si="25"/>
        <v/>
      </c>
    </row>
    <row r="326" spans="1:11" x14ac:dyDescent="0.25">
      <c r="A326" s="2" t="s">
        <v>648</v>
      </c>
      <c r="B326" s="2" t="s">
        <v>649</v>
      </c>
      <c r="D326" s="4" t="s">
        <v>1484</v>
      </c>
      <c r="E326" s="3" t="str">
        <f t="shared" si="22"/>
        <v xml:space="preserve">QK_MIDI_NOTE_B_4                             </v>
      </c>
      <c r="F326" s="3" t="s">
        <v>1472</v>
      </c>
      <c r="G326" s="3" t="str">
        <f t="shared" si="23"/>
        <v>0x713E</v>
      </c>
      <c r="H326" s="3" t="s">
        <v>1483</v>
      </c>
      <c r="I326" s="3" t="str">
        <f t="shared" si="24"/>
        <v/>
      </c>
      <c r="J326" s="5" t="s">
        <v>1482</v>
      </c>
      <c r="K326" s="2" t="str">
        <f t="shared" si="25"/>
        <v/>
      </c>
    </row>
    <row r="327" spans="1:11" x14ac:dyDescent="0.25">
      <c r="A327" s="2" t="s">
        <v>650</v>
      </c>
      <c r="B327" s="2" t="s">
        <v>651</v>
      </c>
      <c r="D327" s="4" t="s">
        <v>1484</v>
      </c>
      <c r="E327" s="3" t="str">
        <f t="shared" si="22"/>
        <v xml:space="preserve">QK_MIDI_NOTE_C_5                             </v>
      </c>
      <c r="F327" s="3" t="s">
        <v>1472</v>
      </c>
      <c r="G327" s="3" t="str">
        <f t="shared" si="23"/>
        <v>0x713F</v>
      </c>
      <c r="H327" s="3" t="s">
        <v>1483</v>
      </c>
      <c r="I327" s="3" t="str">
        <f t="shared" si="24"/>
        <v/>
      </c>
      <c r="J327" s="5" t="s">
        <v>1482</v>
      </c>
      <c r="K327" s="2" t="str">
        <f t="shared" si="25"/>
        <v/>
      </c>
    </row>
    <row r="328" spans="1:11" x14ac:dyDescent="0.25">
      <c r="A328" s="2" t="s">
        <v>652</v>
      </c>
      <c r="B328" s="2" t="s">
        <v>653</v>
      </c>
      <c r="D328" s="4" t="s">
        <v>1484</v>
      </c>
      <c r="E328" s="3" t="str">
        <f t="shared" si="22"/>
        <v xml:space="preserve">QK_MIDI_NOTE_C_SHARP_5                       </v>
      </c>
      <c r="F328" s="3" t="s">
        <v>1472</v>
      </c>
      <c r="G328" s="3" t="str">
        <f t="shared" si="23"/>
        <v>0x7140</v>
      </c>
      <c r="H328" s="3" t="s">
        <v>1483</v>
      </c>
      <c r="I328" s="3" t="str">
        <f t="shared" si="24"/>
        <v/>
      </c>
      <c r="J328" s="5" t="s">
        <v>1482</v>
      </c>
      <c r="K328" s="2" t="str">
        <f t="shared" si="25"/>
        <v/>
      </c>
    </row>
    <row r="329" spans="1:11" x14ac:dyDescent="0.25">
      <c r="A329" s="2" t="s">
        <v>654</v>
      </c>
      <c r="B329" s="2" t="s">
        <v>655</v>
      </c>
      <c r="D329" s="4" t="s">
        <v>1484</v>
      </c>
      <c r="E329" s="3" t="str">
        <f t="shared" si="22"/>
        <v xml:space="preserve">QK_MIDI_NOTE_D_5                             </v>
      </c>
      <c r="F329" s="3" t="s">
        <v>1472</v>
      </c>
      <c r="G329" s="3" t="str">
        <f t="shared" si="23"/>
        <v>0x7141</v>
      </c>
      <c r="H329" s="3" t="s">
        <v>1483</v>
      </c>
      <c r="I329" s="3" t="str">
        <f t="shared" si="24"/>
        <v/>
      </c>
      <c r="J329" s="5" t="s">
        <v>1482</v>
      </c>
      <c r="K329" s="2" t="str">
        <f t="shared" si="25"/>
        <v/>
      </c>
    </row>
    <row r="330" spans="1:11" x14ac:dyDescent="0.25">
      <c r="A330" s="2" t="s">
        <v>656</v>
      </c>
      <c r="B330" s="2" t="s">
        <v>657</v>
      </c>
      <c r="D330" s="4" t="s">
        <v>1484</v>
      </c>
      <c r="E330" s="3" t="str">
        <f t="shared" si="22"/>
        <v xml:space="preserve">QK_MIDI_NOTE_D_SHARP_5                       </v>
      </c>
      <c r="F330" s="3" t="s">
        <v>1472</v>
      </c>
      <c r="G330" s="3" t="str">
        <f t="shared" si="23"/>
        <v>0x7142</v>
      </c>
      <c r="H330" s="3" t="s">
        <v>1483</v>
      </c>
      <c r="I330" s="3" t="str">
        <f t="shared" si="24"/>
        <v/>
      </c>
      <c r="J330" s="5" t="s">
        <v>1482</v>
      </c>
      <c r="K330" s="2" t="str">
        <f t="shared" si="25"/>
        <v/>
      </c>
    </row>
    <row r="331" spans="1:11" x14ac:dyDescent="0.25">
      <c r="A331" s="2" t="s">
        <v>658</v>
      </c>
      <c r="B331" s="2" t="s">
        <v>659</v>
      </c>
      <c r="D331" s="4" t="s">
        <v>1484</v>
      </c>
      <c r="E331" s="3" t="str">
        <f t="shared" si="22"/>
        <v xml:space="preserve">QK_MIDI_NOTE_E_5                             </v>
      </c>
      <c r="F331" s="3" t="s">
        <v>1472</v>
      </c>
      <c r="G331" s="3" t="str">
        <f t="shared" si="23"/>
        <v>0x7143</v>
      </c>
      <c r="H331" s="3" t="s">
        <v>1483</v>
      </c>
      <c r="I331" s="3" t="str">
        <f t="shared" si="24"/>
        <v/>
      </c>
      <c r="J331" s="5" t="s">
        <v>1482</v>
      </c>
      <c r="K331" s="2" t="str">
        <f t="shared" si="25"/>
        <v/>
      </c>
    </row>
    <row r="332" spans="1:11" x14ac:dyDescent="0.25">
      <c r="A332" s="2" t="s">
        <v>660</v>
      </c>
      <c r="B332" s="2" t="s">
        <v>661</v>
      </c>
      <c r="D332" s="4" t="s">
        <v>1484</v>
      </c>
      <c r="E332" s="3" t="str">
        <f t="shared" si="22"/>
        <v xml:space="preserve">QK_MIDI_NOTE_F_5                             </v>
      </c>
      <c r="F332" s="3" t="s">
        <v>1472</v>
      </c>
      <c r="G332" s="3" t="str">
        <f t="shared" si="23"/>
        <v>0x7144</v>
      </c>
      <c r="H332" s="3" t="s">
        <v>1483</v>
      </c>
      <c r="I332" s="3" t="str">
        <f t="shared" si="24"/>
        <v/>
      </c>
      <c r="J332" s="5" t="s">
        <v>1482</v>
      </c>
      <c r="K332" s="2" t="str">
        <f t="shared" si="25"/>
        <v/>
      </c>
    </row>
    <row r="333" spans="1:11" x14ac:dyDescent="0.25">
      <c r="A333" s="2" t="s">
        <v>662</v>
      </c>
      <c r="B333" s="2" t="s">
        <v>663</v>
      </c>
      <c r="D333" s="4" t="s">
        <v>1484</v>
      </c>
      <c r="E333" s="3" t="str">
        <f t="shared" si="22"/>
        <v xml:space="preserve">QK_MIDI_NOTE_F_SHARP_5                       </v>
      </c>
      <c r="F333" s="3" t="s">
        <v>1472</v>
      </c>
      <c r="G333" s="3" t="str">
        <f t="shared" si="23"/>
        <v>0x7145</v>
      </c>
      <c r="H333" s="3" t="s">
        <v>1483</v>
      </c>
      <c r="I333" s="3" t="str">
        <f t="shared" si="24"/>
        <v/>
      </c>
      <c r="J333" s="5" t="s">
        <v>1482</v>
      </c>
      <c r="K333" s="2" t="str">
        <f t="shared" si="25"/>
        <v/>
      </c>
    </row>
    <row r="334" spans="1:11" x14ac:dyDescent="0.25">
      <c r="A334" s="2" t="s">
        <v>664</v>
      </c>
      <c r="B334" s="2" t="s">
        <v>665</v>
      </c>
      <c r="D334" s="4" t="s">
        <v>1484</v>
      </c>
      <c r="E334" s="3" t="str">
        <f t="shared" si="22"/>
        <v xml:space="preserve">QK_MIDI_NOTE_G_5                             </v>
      </c>
      <c r="F334" s="3" t="s">
        <v>1472</v>
      </c>
      <c r="G334" s="3" t="str">
        <f t="shared" si="23"/>
        <v>0x7146</v>
      </c>
      <c r="H334" s="3" t="s">
        <v>1483</v>
      </c>
      <c r="I334" s="3" t="str">
        <f t="shared" si="24"/>
        <v/>
      </c>
      <c r="J334" s="5" t="s">
        <v>1482</v>
      </c>
      <c r="K334" s="2" t="str">
        <f t="shared" si="25"/>
        <v/>
      </c>
    </row>
    <row r="335" spans="1:11" x14ac:dyDescent="0.25">
      <c r="A335" s="2" t="s">
        <v>666</v>
      </c>
      <c r="B335" s="2" t="s">
        <v>667</v>
      </c>
      <c r="D335" s="4" t="s">
        <v>1484</v>
      </c>
      <c r="E335" s="3" t="str">
        <f t="shared" si="22"/>
        <v xml:space="preserve">QK_MIDI_NOTE_G_SHARP_5                       </v>
      </c>
      <c r="F335" s="3" t="s">
        <v>1472</v>
      </c>
      <c r="G335" s="3" t="str">
        <f t="shared" si="23"/>
        <v>0x7147</v>
      </c>
      <c r="H335" s="3" t="s">
        <v>1483</v>
      </c>
      <c r="I335" s="3" t="str">
        <f t="shared" si="24"/>
        <v/>
      </c>
      <c r="J335" s="5" t="s">
        <v>1482</v>
      </c>
      <c r="K335" s="2" t="str">
        <f t="shared" si="25"/>
        <v/>
      </c>
    </row>
    <row r="336" spans="1:11" x14ac:dyDescent="0.25">
      <c r="A336" s="2" t="s">
        <v>668</v>
      </c>
      <c r="B336" s="2" t="s">
        <v>669</v>
      </c>
      <c r="D336" s="4" t="s">
        <v>1484</v>
      </c>
      <c r="E336" s="3" t="str">
        <f t="shared" si="22"/>
        <v xml:space="preserve">QK_MIDI_NOTE_A_5                             </v>
      </c>
      <c r="F336" s="3" t="s">
        <v>1472</v>
      </c>
      <c r="G336" s="3" t="str">
        <f t="shared" si="23"/>
        <v>0x7148</v>
      </c>
      <c r="H336" s="3" t="s">
        <v>1483</v>
      </c>
      <c r="I336" s="3" t="str">
        <f t="shared" si="24"/>
        <v/>
      </c>
      <c r="J336" s="5" t="s">
        <v>1482</v>
      </c>
      <c r="K336" s="2" t="str">
        <f t="shared" si="25"/>
        <v/>
      </c>
    </row>
    <row r="337" spans="1:11" x14ac:dyDescent="0.25">
      <c r="A337" s="2" t="s">
        <v>670</v>
      </c>
      <c r="B337" s="2" t="s">
        <v>671</v>
      </c>
      <c r="D337" s="4" t="s">
        <v>1484</v>
      </c>
      <c r="E337" s="3" t="str">
        <f t="shared" si="22"/>
        <v xml:space="preserve">QK_MIDI_NOTE_A_SHARP_5                       </v>
      </c>
      <c r="F337" s="3" t="s">
        <v>1472</v>
      </c>
      <c r="G337" s="3" t="str">
        <f t="shared" si="23"/>
        <v>0x7149</v>
      </c>
      <c r="H337" s="3" t="s">
        <v>1483</v>
      </c>
      <c r="I337" s="3" t="str">
        <f t="shared" si="24"/>
        <v/>
      </c>
      <c r="J337" s="5" t="s">
        <v>1482</v>
      </c>
      <c r="K337" s="2" t="str">
        <f t="shared" si="25"/>
        <v/>
      </c>
    </row>
    <row r="338" spans="1:11" x14ac:dyDescent="0.25">
      <c r="A338" s="2" t="s">
        <v>672</v>
      </c>
      <c r="B338" s="2" t="s">
        <v>673</v>
      </c>
      <c r="D338" s="4" t="s">
        <v>1484</v>
      </c>
      <c r="E338" s="3" t="str">
        <f t="shared" si="22"/>
        <v xml:space="preserve">QK_MIDI_NOTE_B_5                             </v>
      </c>
      <c r="F338" s="3" t="s">
        <v>1472</v>
      </c>
      <c r="G338" s="3" t="str">
        <f t="shared" si="23"/>
        <v>0x714A</v>
      </c>
      <c r="H338" s="3" t="s">
        <v>1483</v>
      </c>
      <c r="I338" s="3" t="str">
        <f t="shared" si="24"/>
        <v/>
      </c>
      <c r="J338" s="5" t="s">
        <v>1482</v>
      </c>
      <c r="K338" s="2" t="str">
        <f t="shared" si="25"/>
        <v/>
      </c>
    </row>
    <row r="339" spans="1:11" x14ac:dyDescent="0.25">
      <c r="A339" s="2" t="s">
        <v>674</v>
      </c>
      <c r="B339" s="2" t="s">
        <v>675</v>
      </c>
      <c r="D339" s="4" t="s">
        <v>1484</v>
      </c>
      <c r="E339" s="3" t="str">
        <f t="shared" si="22"/>
        <v xml:space="preserve">QK_MIDI_OCTAVE_N2                            </v>
      </c>
      <c r="F339" s="3" t="s">
        <v>1472</v>
      </c>
      <c r="G339" s="3" t="str">
        <f t="shared" si="23"/>
        <v>0x714B</v>
      </c>
      <c r="H339" s="3" t="s">
        <v>1483</v>
      </c>
      <c r="I339" s="3" t="str">
        <f t="shared" si="24"/>
        <v/>
      </c>
      <c r="J339" s="5" t="s">
        <v>1482</v>
      </c>
      <c r="K339" s="2" t="str">
        <f t="shared" si="25"/>
        <v/>
      </c>
    </row>
    <row r="340" spans="1:11" x14ac:dyDescent="0.25">
      <c r="A340" s="2" t="s">
        <v>676</v>
      </c>
      <c r="B340" s="2" t="s">
        <v>677</v>
      </c>
      <c r="D340" s="4" t="s">
        <v>1484</v>
      </c>
      <c r="E340" s="3" t="str">
        <f t="shared" si="22"/>
        <v xml:space="preserve">QK_MIDI_OCTAVE_N1                            </v>
      </c>
      <c r="F340" s="3" t="s">
        <v>1472</v>
      </c>
      <c r="G340" s="3" t="str">
        <f t="shared" si="23"/>
        <v>0x714C</v>
      </c>
      <c r="H340" s="3" t="s">
        <v>1483</v>
      </c>
      <c r="I340" s="3" t="str">
        <f t="shared" si="24"/>
        <v/>
      </c>
      <c r="J340" s="5" t="s">
        <v>1482</v>
      </c>
      <c r="K340" s="2" t="str">
        <f t="shared" si="25"/>
        <v/>
      </c>
    </row>
    <row r="341" spans="1:11" x14ac:dyDescent="0.25">
      <c r="A341" s="2" t="s">
        <v>678</v>
      </c>
      <c r="B341" s="2" t="s">
        <v>679</v>
      </c>
      <c r="D341" s="4" t="s">
        <v>1484</v>
      </c>
      <c r="E341" s="3" t="str">
        <f t="shared" si="22"/>
        <v xml:space="preserve">QK_MIDI_OCTAVE_0                             </v>
      </c>
      <c r="F341" s="3" t="s">
        <v>1472</v>
      </c>
      <c r="G341" s="3" t="str">
        <f t="shared" si="23"/>
        <v>0x714D</v>
      </c>
      <c r="H341" s="3" t="s">
        <v>1483</v>
      </c>
      <c r="I341" s="3" t="str">
        <f t="shared" si="24"/>
        <v/>
      </c>
      <c r="J341" s="5" t="s">
        <v>1482</v>
      </c>
      <c r="K341" s="2" t="str">
        <f t="shared" si="25"/>
        <v/>
      </c>
    </row>
    <row r="342" spans="1:11" x14ac:dyDescent="0.25">
      <c r="A342" s="2" t="s">
        <v>680</v>
      </c>
      <c r="B342" s="2" t="s">
        <v>681</v>
      </c>
      <c r="D342" s="4" t="s">
        <v>1484</v>
      </c>
      <c r="E342" s="3" t="str">
        <f t="shared" si="22"/>
        <v xml:space="preserve">QK_MIDI_OCTAVE_1                             </v>
      </c>
      <c r="F342" s="3" t="s">
        <v>1472</v>
      </c>
      <c r="G342" s="3" t="str">
        <f t="shared" si="23"/>
        <v>0x714E</v>
      </c>
      <c r="H342" s="3" t="s">
        <v>1483</v>
      </c>
      <c r="I342" s="3" t="str">
        <f t="shared" si="24"/>
        <v/>
      </c>
      <c r="J342" s="5" t="s">
        <v>1482</v>
      </c>
      <c r="K342" s="2" t="str">
        <f t="shared" si="25"/>
        <v/>
      </c>
    </row>
    <row r="343" spans="1:11" x14ac:dyDescent="0.25">
      <c r="A343" s="2" t="s">
        <v>682</v>
      </c>
      <c r="B343" s="2" t="s">
        <v>683</v>
      </c>
      <c r="D343" s="4" t="s">
        <v>1484</v>
      </c>
      <c r="E343" s="3" t="str">
        <f t="shared" si="22"/>
        <v xml:space="preserve">QK_MIDI_OCTAVE_2                             </v>
      </c>
      <c r="F343" s="3" t="s">
        <v>1472</v>
      </c>
      <c r="G343" s="3" t="str">
        <f t="shared" si="23"/>
        <v>0x714F</v>
      </c>
      <c r="H343" s="3" t="s">
        <v>1483</v>
      </c>
      <c r="I343" s="3" t="str">
        <f t="shared" si="24"/>
        <v/>
      </c>
      <c r="J343" s="5" t="s">
        <v>1482</v>
      </c>
      <c r="K343" s="2" t="str">
        <f t="shared" si="25"/>
        <v/>
      </c>
    </row>
    <row r="344" spans="1:11" x14ac:dyDescent="0.25">
      <c r="A344" s="2" t="s">
        <v>684</v>
      </c>
      <c r="B344" s="2" t="s">
        <v>685</v>
      </c>
      <c r="D344" s="4" t="s">
        <v>1484</v>
      </c>
      <c r="E344" s="3" t="str">
        <f t="shared" si="22"/>
        <v xml:space="preserve">QK_MIDI_OCTAVE_3                             </v>
      </c>
      <c r="F344" s="3" t="s">
        <v>1472</v>
      </c>
      <c r="G344" s="3" t="str">
        <f t="shared" si="23"/>
        <v>0x7150</v>
      </c>
      <c r="H344" s="3" t="s">
        <v>1483</v>
      </c>
      <c r="I344" s="3" t="str">
        <f t="shared" si="24"/>
        <v/>
      </c>
      <c r="J344" s="5" t="s">
        <v>1482</v>
      </c>
      <c r="K344" s="2" t="str">
        <f t="shared" si="25"/>
        <v/>
      </c>
    </row>
    <row r="345" spans="1:11" x14ac:dyDescent="0.25">
      <c r="A345" s="2" t="s">
        <v>686</v>
      </c>
      <c r="B345" s="2" t="s">
        <v>687</v>
      </c>
      <c r="D345" s="4" t="s">
        <v>1484</v>
      </c>
      <c r="E345" s="3" t="str">
        <f t="shared" si="22"/>
        <v xml:space="preserve">QK_MIDI_OCTAVE_4                             </v>
      </c>
      <c r="F345" s="3" t="s">
        <v>1472</v>
      </c>
      <c r="G345" s="3" t="str">
        <f t="shared" si="23"/>
        <v>0x7151</v>
      </c>
      <c r="H345" s="3" t="s">
        <v>1483</v>
      </c>
      <c r="I345" s="3" t="str">
        <f t="shared" si="24"/>
        <v/>
      </c>
      <c r="J345" s="5" t="s">
        <v>1482</v>
      </c>
      <c r="K345" s="2" t="str">
        <f t="shared" si="25"/>
        <v/>
      </c>
    </row>
    <row r="346" spans="1:11" x14ac:dyDescent="0.25">
      <c r="A346" s="2" t="s">
        <v>688</v>
      </c>
      <c r="B346" s="2" t="s">
        <v>689</v>
      </c>
      <c r="D346" s="4" t="s">
        <v>1484</v>
      </c>
      <c r="E346" s="3" t="str">
        <f t="shared" si="22"/>
        <v xml:space="preserve">QK_MIDI_OCTAVE_5                             </v>
      </c>
      <c r="F346" s="3" t="s">
        <v>1472</v>
      </c>
      <c r="G346" s="3" t="str">
        <f t="shared" si="23"/>
        <v>0x7152</v>
      </c>
      <c r="H346" s="3" t="s">
        <v>1483</v>
      </c>
      <c r="I346" s="3" t="str">
        <f t="shared" si="24"/>
        <v/>
      </c>
      <c r="J346" s="5" t="s">
        <v>1482</v>
      </c>
      <c r="K346" s="2" t="str">
        <f t="shared" si="25"/>
        <v/>
      </c>
    </row>
    <row r="347" spans="1:11" x14ac:dyDescent="0.25">
      <c r="A347" s="2" t="s">
        <v>690</v>
      </c>
      <c r="B347" s="2" t="s">
        <v>691</v>
      </c>
      <c r="D347" s="4" t="s">
        <v>1484</v>
      </c>
      <c r="E347" s="3" t="str">
        <f t="shared" si="22"/>
        <v xml:space="preserve">QK_MIDI_OCTAVE_6                             </v>
      </c>
      <c r="F347" s="3" t="s">
        <v>1472</v>
      </c>
      <c r="G347" s="3" t="str">
        <f t="shared" si="23"/>
        <v>0x7153</v>
      </c>
      <c r="H347" s="3" t="s">
        <v>1483</v>
      </c>
      <c r="I347" s="3" t="str">
        <f t="shared" si="24"/>
        <v/>
      </c>
      <c r="J347" s="5" t="s">
        <v>1482</v>
      </c>
      <c r="K347" s="2" t="str">
        <f t="shared" si="25"/>
        <v/>
      </c>
    </row>
    <row r="348" spans="1:11" x14ac:dyDescent="0.25">
      <c r="A348" s="2" t="s">
        <v>692</v>
      </c>
      <c r="B348" s="2" t="s">
        <v>693</v>
      </c>
      <c r="D348" s="4" t="s">
        <v>1484</v>
      </c>
      <c r="E348" s="3" t="str">
        <f t="shared" si="22"/>
        <v xml:space="preserve">QK_MIDI_OCTAVE_7                             </v>
      </c>
      <c r="F348" s="3" t="s">
        <v>1472</v>
      </c>
      <c r="G348" s="3" t="str">
        <f t="shared" si="23"/>
        <v>0x7154</v>
      </c>
      <c r="H348" s="3" t="s">
        <v>1483</v>
      </c>
      <c r="I348" s="3" t="str">
        <f t="shared" si="24"/>
        <v/>
      </c>
      <c r="J348" s="5" t="s">
        <v>1482</v>
      </c>
      <c r="K348" s="2" t="str">
        <f t="shared" si="25"/>
        <v/>
      </c>
    </row>
    <row r="349" spans="1:11" x14ac:dyDescent="0.25">
      <c r="A349" s="2" t="s">
        <v>694</v>
      </c>
      <c r="B349" s="2" t="s">
        <v>695</v>
      </c>
      <c r="D349" s="4" t="s">
        <v>1484</v>
      </c>
      <c r="E349" s="3" t="str">
        <f t="shared" si="22"/>
        <v xml:space="preserve">QK_MIDI_OCTAVE_DOWN                          </v>
      </c>
      <c r="F349" s="3" t="s">
        <v>1472</v>
      </c>
      <c r="G349" s="3" t="str">
        <f t="shared" si="23"/>
        <v>0x7155</v>
      </c>
      <c r="H349" s="3" t="s">
        <v>1483</v>
      </c>
      <c r="I349" s="3" t="str">
        <f t="shared" si="24"/>
        <v/>
      </c>
      <c r="J349" s="5" t="s">
        <v>1482</v>
      </c>
      <c r="K349" s="2" t="str">
        <f t="shared" si="25"/>
        <v/>
      </c>
    </row>
    <row r="350" spans="1:11" x14ac:dyDescent="0.25">
      <c r="A350" s="2" t="s">
        <v>696</v>
      </c>
      <c r="B350" s="2" t="s">
        <v>697</v>
      </c>
      <c r="D350" s="4" t="s">
        <v>1484</v>
      </c>
      <c r="E350" s="3" t="str">
        <f t="shared" si="22"/>
        <v xml:space="preserve">QK_MIDI_OCTAVE_UP                            </v>
      </c>
      <c r="F350" s="3" t="s">
        <v>1472</v>
      </c>
      <c r="G350" s="3" t="str">
        <f t="shared" si="23"/>
        <v>0x7156</v>
      </c>
      <c r="H350" s="3" t="s">
        <v>1483</v>
      </c>
      <c r="I350" s="3" t="str">
        <f t="shared" si="24"/>
        <v/>
      </c>
      <c r="J350" s="5" t="s">
        <v>1482</v>
      </c>
      <c r="K350" s="2" t="str">
        <f t="shared" si="25"/>
        <v/>
      </c>
    </row>
    <row r="351" spans="1:11" x14ac:dyDescent="0.25">
      <c r="A351" s="2" t="s">
        <v>698</v>
      </c>
      <c r="B351" s="2" t="s">
        <v>699</v>
      </c>
      <c r="D351" s="4" t="s">
        <v>1484</v>
      </c>
      <c r="E351" s="3" t="str">
        <f t="shared" si="22"/>
        <v xml:space="preserve">QK_MIDI_TRANSPOSE_N6                         </v>
      </c>
      <c r="F351" s="3" t="s">
        <v>1472</v>
      </c>
      <c r="G351" s="3" t="str">
        <f t="shared" si="23"/>
        <v>0x7157</v>
      </c>
      <c r="H351" s="3" t="s">
        <v>1483</v>
      </c>
      <c r="I351" s="3" t="str">
        <f t="shared" si="24"/>
        <v/>
      </c>
      <c r="J351" s="5" t="s">
        <v>1482</v>
      </c>
      <c r="K351" s="2" t="str">
        <f t="shared" si="25"/>
        <v/>
      </c>
    </row>
    <row r="352" spans="1:11" x14ac:dyDescent="0.25">
      <c r="A352" s="2" t="s">
        <v>700</v>
      </c>
      <c r="B352" s="2" t="s">
        <v>701</v>
      </c>
      <c r="D352" s="4" t="s">
        <v>1484</v>
      </c>
      <c r="E352" s="3" t="str">
        <f t="shared" si="22"/>
        <v xml:space="preserve">QK_MIDI_TRANSPOSE_N5                         </v>
      </c>
      <c r="F352" s="3" t="s">
        <v>1472</v>
      </c>
      <c r="G352" s="3" t="str">
        <f t="shared" si="23"/>
        <v>0x7158</v>
      </c>
      <c r="H352" s="3" t="s">
        <v>1483</v>
      </c>
      <c r="I352" s="3" t="str">
        <f t="shared" si="24"/>
        <v/>
      </c>
      <c r="J352" s="5" t="s">
        <v>1482</v>
      </c>
      <c r="K352" s="2" t="str">
        <f t="shared" si="25"/>
        <v/>
      </c>
    </row>
    <row r="353" spans="1:11" x14ac:dyDescent="0.25">
      <c r="A353" s="2" t="s">
        <v>702</v>
      </c>
      <c r="B353" s="2" t="s">
        <v>703</v>
      </c>
      <c r="D353" s="4" t="s">
        <v>1484</v>
      </c>
      <c r="E353" s="3" t="str">
        <f t="shared" si="22"/>
        <v xml:space="preserve">QK_MIDI_TRANSPOSE_N4                         </v>
      </c>
      <c r="F353" s="3" t="s">
        <v>1472</v>
      </c>
      <c r="G353" s="3" t="str">
        <f t="shared" si="23"/>
        <v>0x7159</v>
      </c>
      <c r="H353" s="3" t="s">
        <v>1483</v>
      </c>
      <c r="I353" s="3" t="str">
        <f t="shared" si="24"/>
        <v/>
      </c>
      <c r="J353" s="5" t="s">
        <v>1482</v>
      </c>
      <c r="K353" s="2" t="str">
        <f t="shared" si="25"/>
        <v/>
      </c>
    </row>
    <row r="354" spans="1:11" x14ac:dyDescent="0.25">
      <c r="A354" s="2" t="s">
        <v>704</v>
      </c>
      <c r="B354" s="2" t="s">
        <v>705</v>
      </c>
      <c r="D354" s="4" t="s">
        <v>1484</v>
      </c>
      <c r="E354" s="3" t="str">
        <f t="shared" si="22"/>
        <v xml:space="preserve">QK_MIDI_TRANSPOSE_N3                         </v>
      </c>
      <c r="F354" s="3" t="s">
        <v>1472</v>
      </c>
      <c r="G354" s="3" t="str">
        <f t="shared" si="23"/>
        <v>0x715A</v>
      </c>
      <c r="H354" s="3" t="s">
        <v>1483</v>
      </c>
      <c r="I354" s="3" t="str">
        <f t="shared" si="24"/>
        <v/>
      </c>
      <c r="J354" s="5" t="s">
        <v>1482</v>
      </c>
      <c r="K354" s="2" t="str">
        <f t="shared" si="25"/>
        <v/>
      </c>
    </row>
    <row r="355" spans="1:11" x14ac:dyDescent="0.25">
      <c r="A355" s="2" t="s">
        <v>706</v>
      </c>
      <c r="B355" s="2" t="s">
        <v>707</v>
      </c>
      <c r="D355" s="4" t="s">
        <v>1484</v>
      </c>
      <c r="E355" s="3" t="str">
        <f t="shared" si="22"/>
        <v xml:space="preserve">QK_MIDI_TRANSPOSE_N2                         </v>
      </c>
      <c r="F355" s="3" t="s">
        <v>1472</v>
      </c>
      <c r="G355" s="3" t="str">
        <f t="shared" si="23"/>
        <v>0x715B</v>
      </c>
      <c r="H355" s="3" t="s">
        <v>1483</v>
      </c>
      <c r="I355" s="3" t="str">
        <f t="shared" si="24"/>
        <v/>
      </c>
      <c r="J355" s="5" t="s">
        <v>1482</v>
      </c>
      <c r="K355" s="2" t="str">
        <f t="shared" si="25"/>
        <v/>
      </c>
    </row>
    <row r="356" spans="1:11" x14ac:dyDescent="0.25">
      <c r="A356" s="2" t="s">
        <v>708</v>
      </c>
      <c r="B356" s="2" t="s">
        <v>709</v>
      </c>
      <c r="D356" s="4" t="s">
        <v>1484</v>
      </c>
      <c r="E356" s="3" t="str">
        <f t="shared" si="22"/>
        <v xml:space="preserve">QK_MIDI_TRANSPOSE_N1                         </v>
      </c>
      <c r="F356" s="3" t="s">
        <v>1472</v>
      </c>
      <c r="G356" s="3" t="str">
        <f t="shared" si="23"/>
        <v>0x715C</v>
      </c>
      <c r="H356" s="3" t="s">
        <v>1483</v>
      </c>
      <c r="I356" s="3" t="str">
        <f t="shared" si="24"/>
        <v/>
      </c>
      <c r="J356" s="5" t="s">
        <v>1482</v>
      </c>
      <c r="K356" s="2" t="str">
        <f t="shared" si="25"/>
        <v/>
      </c>
    </row>
    <row r="357" spans="1:11" x14ac:dyDescent="0.25">
      <c r="A357" s="2" t="s">
        <v>710</v>
      </c>
      <c r="B357" s="2" t="s">
        <v>711</v>
      </c>
      <c r="D357" s="4" t="s">
        <v>1484</v>
      </c>
      <c r="E357" s="3" t="str">
        <f t="shared" si="22"/>
        <v xml:space="preserve">QK_MIDI_TRANSPOSE_0                          </v>
      </c>
      <c r="F357" s="3" t="s">
        <v>1472</v>
      </c>
      <c r="G357" s="3" t="str">
        <f t="shared" si="23"/>
        <v>0x715D</v>
      </c>
      <c r="H357" s="3" t="s">
        <v>1483</v>
      </c>
      <c r="I357" s="3" t="str">
        <f t="shared" si="24"/>
        <v/>
      </c>
      <c r="J357" s="5" t="s">
        <v>1482</v>
      </c>
      <c r="K357" s="2" t="str">
        <f t="shared" si="25"/>
        <v/>
      </c>
    </row>
    <row r="358" spans="1:11" x14ac:dyDescent="0.25">
      <c r="A358" s="2" t="s">
        <v>712</v>
      </c>
      <c r="B358" s="2" t="s">
        <v>713</v>
      </c>
      <c r="D358" s="4" t="s">
        <v>1484</v>
      </c>
      <c r="E358" s="3" t="str">
        <f t="shared" si="22"/>
        <v xml:space="preserve">QK_MIDI_TRANSPOSE_1                          </v>
      </c>
      <c r="F358" s="3" t="s">
        <v>1472</v>
      </c>
      <c r="G358" s="3" t="str">
        <f t="shared" si="23"/>
        <v>0x715E</v>
      </c>
      <c r="H358" s="3" t="s">
        <v>1483</v>
      </c>
      <c r="I358" s="3" t="str">
        <f t="shared" si="24"/>
        <v/>
      </c>
      <c r="J358" s="5" t="s">
        <v>1482</v>
      </c>
      <c r="K358" s="2" t="str">
        <f t="shared" si="25"/>
        <v/>
      </c>
    </row>
    <row r="359" spans="1:11" x14ac:dyDescent="0.25">
      <c r="A359" s="2" t="s">
        <v>714</v>
      </c>
      <c r="B359" s="2" t="s">
        <v>715</v>
      </c>
      <c r="D359" s="4" t="s">
        <v>1484</v>
      </c>
      <c r="E359" s="3" t="str">
        <f t="shared" si="22"/>
        <v xml:space="preserve">QK_MIDI_TRANSPOSE_2                          </v>
      </c>
      <c r="F359" s="3" t="s">
        <v>1472</v>
      </c>
      <c r="G359" s="3" t="str">
        <f t="shared" si="23"/>
        <v>0x715F</v>
      </c>
      <c r="H359" s="3" t="s">
        <v>1483</v>
      </c>
      <c r="I359" s="3" t="str">
        <f t="shared" si="24"/>
        <v/>
      </c>
      <c r="J359" s="5" t="s">
        <v>1482</v>
      </c>
      <c r="K359" s="2" t="str">
        <f t="shared" si="25"/>
        <v/>
      </c>
    </row>
    <row r="360" spans="1:11" x14ac:dyDescent="0.25">
      <c r="A360" s="2" t="s">
        <v>716</v>
      </c>
      <c r="B360" s="2" t="s">
        <v>717</v>
      </c>
      <c r="D360" s="4" t="s">
        <v>1484</v>
      </c>
      <c r="E360" s="3" t="str">
        <f t="shared" si="22"/>
        <v xml:space="preserve">QK_MIDI_TRANSPOSE_3                          </v>
      </c>
      <c r="F360" s="3" t="s">
        <v>1472</v>
      </c>
      <c r="G360" s="3" t="str">
        <f t="shared" si="23"/>
        <v>0x7160</v>
      </c>
      <c r="H360" s="3" t="s">
        <v>1483</v>
      </c>
      <c r="I360" s="3" t="str">
        <f t="shared" si="24"/>
        <v/>
      </c>
      <c r="J360" s="5" t="s">
        <v>1482</v>
      </c>
      <c r="K360" s="2" t="str">
        <f t="shared" si="25"/>
        <v/>
      </c>
    </row>
    <row r="361" spans="1:11" x14ac:dyDescent="0.25">
      <c r="A361" s="2" t="s">
        <v>718</v>
      </c>
      <c r="B361" s="2" t="s">
        <v>719</v>
      </c>
      <c r="D361" s="4" t="s">
        <v>1484</v>
      </c>
      <c r="E361" s="3" t="str">
        <f t="shared" si="22"/>
        <v xml:space="preserve">QK_MIDI_TRANSPOSE_4                          </v>
      </c>
      <c r="F361" s="3" t="s">
        <v>1472</v>
      </c>
      <c r="G361" s="3" t="str">
        <f t="shared" si="23"/>
        <v>0x7161</v>
      </c>
      <c r="H361" s="3" t="s">
        <v>1483</v>
      </c>
      <c r="I361" s="3" t="str">
        <f t="shared" si="24"/>
        <v/>
      </c>
      <c r="J361" s="5" t="s">
        <v>1482</v>
      </c>
      <c r="K361" s="2" t="str">
        <f t="shared" si="25"/>
        <v/>
      </c>
    </row>
    <row r="362" spans="1:11" x14ac:dyDescent="0.25">
      <c r="A362" s="2" t="s">
        <v>720</v>
      </c>
      <c r="B362" s="2" t="s">
        <v>721</v>
      </c>
      <c r="D362" s="4" t="s">
        <v>1484</v>
      </c>
      <c r="E362" s="3" t="str">
        <f t="shared" si="22"/>
        <v xml:space="preserve">QK_MIDI_TRANSPOSE_5                          </v>
      </c>
      <c r="F362" s="3" t="s">
        <v>1472</v>
      </c>
      <c r="G362" s="3" t="str">
        <f t="shared" si="23"/>
        <v>0x7162</v>
      </c>
      <c r="H362" s="3" t="s">
        <v>1483</v>
      </c>
      <c r="I362" s="3" t="str">
        <f t="shared" si="24"/>
        <v/>
      </c>
      <c r="J362" s="5" t="s">
        <v>1482</v>
      </c>
      <c r="K362" s="2" t="str">
        <f t="shared" si="25"/>
        <v/>
      </c>
    </row>
    <row r="363" spans="1:11" x14ac:dyDescent="0.25">
      <c r="A363" s="2" t="s">
        <v>722</v>
      </c>
      <c r="B363" s="2" t="s">
        <v>723</v>
      </c>
      <c r="D363" s="4" t="s">
        <v>1484</v>
      </c>
      <c r="E363" s="3" t="str">
        <f t="shared" si="22"/>
        <v xml:space="preserve">QK_MIDI_TRANSPOSE_6                          </v>
      </c>
      <c r="F363" s="3" t="s">
        <v>1472</v>
      </c>
      <c r="G363" s="3" t="str">
        <f t="shared" si="23"/>
        <v>0x7163</v>
      </c>
      <c r="H363" s="3" t="s">
        <v>1483</v>
      </c>
      <c r="I363" s="3" t="str">
        <f t="shared" si="24"/>
        <v/>
      </c>
      <c r="J363" s="5" t="s">
        <v>1482</v>
      </c>
      <c r="K363" s="2" t="str">
        <f t="shared" si="25"/>
        <v/>
      </c>
    </row>
    <row r="364" spans="1:11" x14ac:dyDescent="0.25">
      <c r="A364" s="2" t="s">
        <v>724</v>
      </c>
      <c r="B364" s="2" t="s">
        <v>725</v>
      </c>
      <c r="D364" s="4" t="s">
        <v>1484</v>
      </c>
      <c r="E364" s="3" t="str">
        <f t="shared" si="22"/>
        <v xml:space="preserve">QK_MIDI_TRANSPOSE_DOWN                       </v>
      </c>
      <c r="F364" s="3" t="s">
        <v>1472</v>
      </c>
      <c r="G364" s="3" t="str">
        <f t="shared" si="23"/>
        <v>0x7164</v>
      </c>
      <c r="H364" s="3" t="s">
        <v>1483</v>
      </c>
      <c r="I364" s="3" t="str">
        <f t="shared" si="24"/>
        <v/>
      </c>
      <c r="J364" s="5" t="s">
        <v>1482</v>
      </c>
      <c r="K364" s="2" t="str">
        <f t="shared" si="25"/>
        <v/>
      </c>
    </row>
    <row r="365" spans="1:11" x14ac:dyDescent="0.25">
      <c r="A365" s="2" t="s">
        <v>726</v>
      </c>
      <c r="B365" s="2" t="s">
        <v>727</v>
      </c>
      <c r="D365" s="4" t="s">
        <v>1484</v>
      </c>
      <c r="E365" s="3" t="str">
        <f t="shared" si="22"/>
        <v xml:space="preserve">QK_MIDI_TRANSPOSE_UP                         </v>
      </c>
      <c r="F365" s="3" t="s">
        <v>1472</v>
      </c>
      <c r="G365" s="3" t="str">
        <f t="shared" si="23"/>
        <v>0x7165</v>
      </c>
      <c r="H365" s="3" t="s">
        <v>1483</v>
      </c>
      <c r="I365" s="3" t="str">
        <f t="shared" si="24"/>
        <v/>
      </c>
      <c r="J365" s="5" t="s">
        <v>1482</v>
      </c>
      <c r="K365" s="2" t="str">
        <f t="shared" si="25"/>
        <v/>
      </c>
    </row>
    <row r="366" spans="1:11" x14ac:dyDescent="0.25">
      <c r="A366" s="2" t="s">
        <v>728</v>
      </c>
      <c r="B366" s="2" t="s">
        <v>729</v>
      </c>
      <c r="D366" s="4" t="s">
        <v>1484</v>
      </c>
      <c r="E366" s="3" t="str">
        <f t="shared" si="22"/>
        <v xml:space="preserve">QK_MIDI_VELOCITY_0                           </v>
      </c>
      <c r="F366" s="3" t="s">
        <v>1472</v>
      </c>
      <c r="G366" s="3" t="str">
        <f t="shared" si="23"/>
        <v>0x7166</v>
      </c>
      <c r="H366" s="3" t="s">
        <v>1483</v>
      </c>
      <c r="I366" s="3" t="str">
        <f t="shared" si="24"/>
        <v/>
      </c>
      <c r="J366" s="5" t="s">
        <v>1482</v>
      </c>
      <c r="K366" s="2" t="str">
        <f t="shared" si="25"/>
        <v/>
      </c>
    </row>
    <row r="367" spans="1:11" x14ac:dyDescent="0.25">
      <c r="A367" s="2" t="s">
        <v>730</v>
      </c>
      <c r="B367" s="2" t="s">
        <v>731</v>
      </c>
      <c r="D367" s="4" t="s">
        <v>1484</v>
      </c>
      <c r="E367" s="3" t="str">
        <f t="shared" si="22"/>
        <v xml:space="preserve">QK_MIDI_VELOCITY_1                           </v>
      </c>
      <c r="F367" s="3" t="s">
        <v>1472</v>
      </c>
      <c r="G367" s="3" t="str">
        <f t="shared" si="23"/>
        <v>0x7167</v>
      </c>
      <c r="H367" s="3" t="s">
        <v>1483</v>
      </c>
      <c r="I367" s="3" t="str">
        <f t="shared" si="24"/>
        <v/>
      </c>
      <c r="J367" s="5" t="s">
        <v>1482</v>
      </c>
      <c r="K367" s="2" t="str">
        <f t="shared" si="25"/>
        <v/>
      </c>
    </row>
    <row r="368" spans="1:11" x14ac:dyDescent="0.25">
      <c r="A368" s="2" t="s">
        <v>732</v>
      </c>
      <c r="B368" s="2" t="s">
        <v>733</v>
      </c>
      <c r="D368" s="4" t="s">
        <v>1484</v>
      </c>
      <c r="E368" s="3" t="str">
        <f t="shared" si="22"/>
        <v xml:space="preserve">QK_MIDI_VELOCITY_2                           </v>
      </c>
      <c r="F368" s="3" t="s">
        <v>1472</v>
      </c>
      <c r="G368" s="3" t="str">
        <f t="shared" si="23"/>
        <v>0x7168</v>
      </c>
      <c r="H368" s="3" t="s">
        <v>1483</v>
      </c>
      <c r="I368" s="3" t="str">
        <f t="shared" si="24"/>
        <v/>
      </c>
      <c r="J368" s="5" t="s">
        <v>1482</v>
      </c>
      <c r="K368" s="2" t="str">
        <f t="shared" si="25"/>
        <v/>
      </c>
    </row>
    <row r="369" spans="1:11" x14ac:dyDescent="0.25">
      <c r="A369" s="2" t="s">
        <v>734</v>
      </c>
      <c r="B369" s="2" t="s">
        <v>735</v>
      </c>
      <c r="D369" s="4" t="s">
        <v>1484</v>
      </c>
      <c r="E369" s="3" t="str">
        <f t="shared" si="22"/>
        <v xml:space="preserve">QK_MIDI_VELOCITY_3                           </v>
      </c>
      <c r="F369" s="3" t="s">
        <v>1472</v>
      </c>
      <c r="G369" s="3" t="str">
        <f t="shared" si="23"/>
        <v>0x7169</v>
      </c>
      <c r="H369" s="3" t="s">
        <v>1483</v>
      </c>
      <c r="I369" s="3" t="str">
        <f t="shared" si="24"/>
        <v/>
      </c>
      <c r="J369" s="5" t="s">
        <v>1482</v>
      </c>
      <c r="K369" s="2" t="str">
        <f t="shared" si="25"/>
        <v/>
      </c>
    </row>
    <row r="370" spans="1:11" x14ac:dyDescent="0.25">
      <c r="A370" s="2" t="s">
        <v>736</v>
      </c>
      <c r="B370" s="2" t="s">
        <v>737</v>
      </c>
      <c r="D370" s="4" t="s">
        <v>1484</v>
      </c>
      <c r="E370" s="3" t="str">
        <f t="shared" si="22"/>
        <v xml:space="preserve">QK_MIDI_VELOCITY_4                           </v>
      </c>
      <c r="F370" s="3" t="s">
        <v>1472</v>
      </c>
      <c r="G370" s="3" t="str">
        <f t="shared" si="23"/>
        <v>0x716A</v>
      </c>
      <c r="H370" s="3" t="s">
        <v>1483</v>
      </c>
      <c r="I370" s="3" t="str">
        <f t="shared" si="24"/>
        <v/>
      </c>
      <c r="J370" s="5" t="s">
        <v>1482</v>
      </c>
      <c r="K370" s="2" t="str">
        <f t="shared" si="25"/>
        <v/>
      </c>
    </row>
    <row r="371" spans="1:11" x14ac:dyDescent="0.25">
      <c r="A371" s="2" t="s">
        <v>738</v>
      </c>
      <c r="B371" s="2" t="s">
        <v>739</v>
      </c>
      <c r="D371" s="4" t="s">
        <v>1484</v>
      </c>
      <c r="E371" s="3" t="str">
        <f t="shared" si="22"/>
        <v xml:space="preserve">QK_MIDI_VELOCITY_5                           </v>
      </c>
      <c r="F371" s="3" t="s">
        <v>1472</v>
      </c>
      <c r="G371" s="3" t="str">
        <f t="shared" si="23"/>
        <v>0x716B</v>
      </c>
      <c r="H371" s="3" t="s">
        <v>1483</v>
      </c>
      <c r="I371" s="3" t="str">
        <f t="shared" si="24"/>
        <v/>
      </c>
      <c r="J371" s="5" t="s">
        <v>1482</v>
      </c>
      <c r="K371" s="2" t="str">
        <f t="shared" si="25"/>
        <v/>
      </c>
    </row>
    <row r="372" spans="1:11" x14ac:dyDescent="0.25">
      <c r="A372" s="2" t="s">
        <v>740</v>
      </c>
      <c r="B372" s="2" t="s">
        <v>741</v>
      </c>
      <c r="D372" s="4" t="s">
        <v>1484</v>
      </c>
      <c r="E372" s="3" t="str">
        <f t="shared" si="22"/>
        <v xml:space="preserve">QK_MIDI_VELOCITY_6                           </v>
      </c>
      <c r="F372" s="3" t="s">
        <v>1472</v>
      </c>
      <c r="G372" s="3" t="str">
        <f t="shared" si="23"/>
        <v>0x716C</v>
      </c>
      <c r="H372" s="3" t="s">
        <v>1483</v>
      </c>
      <c r="I372" s="3" t="str">
        <f t="shared" si="24"/>
        <v/>
      </c>
      <c r="J372" s="5" t="s">
        <v>1482</v>
      </c>
      <c r="K372" s="2" t="str">
        <f t="shared" si="25"/>
        <v/>
      </c>
    </row>
    <row r="373" spans="1:11" x14ac:dyDescent="0.25">
      <c r="A373" s="2" t="s">
        <v>742</v>
      </c>
      <c r="B373" s="2" t="s">
        <v>743</v>
      </c>
      <c r="D373" s="4" t="s">
        <v>1484</v>
      </c>
      <c r="E373" s="3" t="str">
        <f t="shared" si="22"/>
        <v xml:space="preserve">QK_MIDI_VELOCITY_7                           </v>
      </c>
      <c r="F373" s="3" t="s">
        <v>1472</v>
      </c>
      <c r="G373" s="3" t="str">
        <f t="shared" si="23"/>
        <v>0x716D</v>
      </c>
      <c r="H373" s="3" t="s">
        <v>1483</v>
      </c>
      <c r="I373" s="3" t="str">
        <f t="shared" si="24"/>
        <v/>
      </c>
      <c r="J373" s="5" t="s">
        <v>1482</v>
      </c>
      <c r="K373" s="2" t="str">
        <f t="shared" si="25"/>
        <v/>
      </c>
    </row>
    <row r="374" spans="1:11" x14ac:dyDescent="0.25">
      <c r="A374" s="2" t="s">
        <v>744</v>
      </c>
      <c r="B374" s="2" t="s">
        <v>745</v>
      </c>
      <c r="D374" s="4" t="s">
        <v>1484</v>
      </c>
      <c r="E374" s="3" t="str">
        <f t="shared" si="22"/>
        <v xml:space="preserve">QK_MIDI_VELOCITY_8                           </v>
      </c>
      <c r="F374" s="3" t="s">
        <v>1472</v>
      </c>
      <c r="G374" s="3" t="str">
        <f t="shared" si="23"/>
        <v>0x716E</v>
      </c>
      <c r="H374" s="3" t="s">
        <v>1483</v>
      </c>
      <c r="I374" s="3" t="str">
        <f t="shared" si="24"/>
        <v/>
      </c>
      <c r="J374" s="5" t="s">
        <v>1482</v>
      </c>
      <c r="K374" s="2" t="str">
        <f t="shared" si="25"/>
        <v/>
      </c>
    </row>
    <row r="375" spans="1:11" x14ac:dyDescent="0.25">
      <c r="A375" s="2" t="s">
        <v>746</v>
      </c>
      <c r="B375" s="2" t="s">
        <v>747</v>
      </c>
      <c r="D375" s="4" t="s">
        <v>1484</v>
      </c>
      <c r="E375" s="3" t="str">
        <f t="shared" si="22"/>
        <v xml:space="preserve">QK_MIDI_VELOCITY_9                           </v>
      </c>
      <c r="F375" s="3" t="s">
        <v>1472</v>
      </c>
      <c r="G375" s="3" t="str">
        <f t="shared" si="23"/>
        <v>0x716F</v>
      </c>
      <c r="H375" s="3" t="s">
        <v>1483</v>
      </c>
      <c r="I375" s="3" t="str">
        <f t="shared" si="24"/>
        <v/>
      </c>
      <c r="J375" s="5" t="s">
        <v>1482</v>
      </c>
      <c r="K375" s="2" t="str">
        <f t="shared" si="25"/>
        <v/>
      </c>
    </row>
    <row r="376" spans="1:11" x14ac:dyDescent="0.25">
      <c r="A376" s="2" t="s">
        <v>748</v>
      </c>
      <c r="B376" s="2" t="s">
        <v>749</v>
      </c>
      <c r="D376" s="4" t="s">
        <v>1484</v>
      </c>
      <c r="E376" s="3" t="str">
        <f t="shared" si="22"/>
        <v xml:space="preserve">QK_MIDI_VELOCITY_10                          </v>
      </c>
      <c r="F376" s="3" t="s">
        <v>1472</v>
      </c>
      <c r="G376" s="3" t="str">
        <f t="shared" si="23"/>
        <v>0x7170</v>
      </c>
      <c r="H376" s="3" t="s">
        <v>1483</v>
      </c>
      <c r="I376" s="3" t="str">
        <f t="shared" si="24"/>
        <v/>
      </c>
      <c r="J376" s="5" t="s">
        <v>1482</v>
      </c>
      <c r="K376" s="2" t="str">
        <f t="shared" si="25"/>
        <v/>
      </c>
    </row>
    <row r="377" spans="1:11" x14ac:dyDescent="0.25">
      <c r="A377" s="2" t="s">
        <v>750</v>
      </c>
      <c r="B377" s="2" t="s">
        <v>751</v>
      </c>
      <c r="D377" s="4" t="s">
        <v>1484</v>
      </c>
      <c r="E377" s="3" t="str">
        <f t="shared" si="22"/>
        <v xml:space="preserve">QK_MIDI_VELOCITY_DOWN                        </v>
      </c>
      <c r="F377" s="3" t="s">
        <v>1472</v>
      </c>
      <c r="G377" s="3" t="str">
        <f t="shared" si="23"/>
        <v>0x7171</v>
      </c>
      <c r="H377" s="3" t="s">
        <v>1483</v>
      </c>
      <c r="I377" s="3" t="str">
        <f t="shared" si="24"/>
        <v/>
      </c>
      <c r="J377" s="5" t="s">
        <v>1482</v>
      </c>
      <c r="K377" s="2" t="str">
        <f t="shared" si="25"/>
        <v/>
      </c>
    </row>
    <row r="378" spans="1:11" x14ac:dyDescent="0.25">
      <c r="A378" s="2" t="s">
        <v>752</v>
      </c>
      <c r="B378" s="2" t="s">
        <v>753</v>
      </c>
      <c r="D378" s="4" t="s">
        <v>1484</v>
      </c>
      <c r="E378" s="3" t="str">
        <f t="shared" si="22"/>
        <v xml:space="preserve">QK_MIDI_VELOCITY_UP                          </v>
      </c>
      <c r="F378" s="3" t="s">
        <v>1472</v>
      </c>
      <c r="G378" s="3" t="str">
        <f t="shared" si="23"/>
        <v>0x7172</v>
      </c>
      <c r="H378" s="3" t="s">
        <v>1483</v>
      </c>
      <c r="I378" s="3" t="str">
        <f t="shared" si="24"/>
        <v/>
      </c>
      <c r="J378" s="5" t="s">
        <v>1482</v>
      </c>
      <c r="K378" s="2" t="str">
        <f t="shared" si="25"/>
        <v/>
      </c>
    </row>
    <row r="379" spans="1:11" x14ac:dyDescent="0.25">
      <c r="A379" s="2" t="s">
        <v>754</v>
      </c>
      <c r="B379" s="2" t="s">
        <v>755</v>
      </c>
      <c r="D379" s="4" t="s">
        <v>1484</v>
      </c>
      <c r="E379" s="3" t="str">
        <f t="shared" si="22"/>
        <v xml:space="preserve">QK_MIDI_CHANNEL_1                            </v>
      </c>
      <c r="F379" s="3" t="s">
        <v>1472</v>
      </c>
      <c r="G379" s="3" t="str">
        <f t="shared" si="23"/>
        <v>0x7173</v>
      </c>
      <c r="H379" s="3" t="s">
        <v>1483</v>
      </c>
      <c r="I379" s="3" t="str">
        <f t="shared" si="24"/>
        <v/>
      </c>
      <c r="J379" s="5" t="s">
        <v>1482</v>
      </c>
      <c r="K379" s="2" t="str">
        <f t="shared" si="25"/>
        <v/>
      </c>
    </row>
    <row r="380" spans="1:11" x14ac:dyDescent="0.25">
      <c r="A380" s="2" t="s">
        <v>756</v>
      </c>
      <c r="B380" s="2" t="s">
        <v>757</v>
      </c>
      <c r="D380" s="4" t="s">
        <v>1484</v>
      </c>
      <c r="E380" s="3" t="str">
        <f t="shared" si="22"/>
        <v xml:space="preserve">QK_MIDI_CHANNEL_2                            </v>
      </c>
      <c r="F380" s="3" t="s">
        <v>1472</v>
      </c>
      <c r="G380" s="3" t="str">
        <f t="shared" si="23"/>
        <v>0x7174</v>
      </c>
      <c r="H380" s="3" t="s">
        <v>1483</v>
      </c>
      <c r="I380" s="3" t="str">
        <f t="shared" si="24"/>
        <v/>
      </c>
      <c r="J380" s="5" t="s">
        <v>1482</v>
      </c>
      <c r="K380" s="2" t="str">
        <f t="shared" si="25"/>
        <v/>
      </c>
    </row>
    <row r="381" spans="1:11" x14ac:dyDescent="0.25">
      <c r="A381" s="2" t="s">
        <v>758</v>
      </c>
      <c r="B381" s="2" t="s">
        <v>759</v>
      </c>
      <c r="D381" s="4" t="s">
        <v>1484</v>
      </c>
      <c r="E381" s="3" t="str">
        <f t="shared" si="22"/>
        <v xml:space="preserve">QK_MIDI_CHANNEL_3                            </v>
      </c>
      <c r="F381" s="3" t="s">
        <v>1472</v>
      </c>
      <c r="G381" s="3" t="str">
        <f t="shared" si="23"/>
        <v>0x7175</v>
      </c>
      <c r="H381" s="3" t="s">
        <v>1483</v>
      </c>
      <c r="I381" s="3" t="str">
        <f t="shared" si="24"/>
        <v/>
      </c>
      <c r="J381" s="5" t="s">
        <v>1482</v>
      </c>
      <c r="K381" s="2" t="str">
        <f t="shared" si="25"/>
        <v/>
      </c>
    </row>
    <row r="382" spans="1:11" x14ac:dyDescent="0.25">
      <c r="A382" s="2" t="s">
        <v>760</v>
      </c>
      <c r="B382" s="2" t="s">
        <v>761</v>
      </c>
      <c r="D382" s="4" t="s">
        <v>1484</v>
      </c>
      <c r="E382" s="3" t="str">
        <f t="shared" si="22"/>
        <v xml:space="preserve">QK_MIDI_CHANNEL_4                            </v>
      </c>
      <c r="F382" s="3" t="s">
        <v>1472</v>
      </c>
      <c r="G382" s="3" t="str">
        <f t="shared" si="23"/>
        <v>0x7176</v>
      </c>
      <c r="H382" s="3" t="s">
        <v>1483</v>
      </c>
      <c r="I382" s="3" t="str">
        <f t="shared" si="24"/>
        <v/>
      </c>
      <c r="J382" s="5" t="s">
        <v>1482</v>
      </c>
      <c r="K382" s="2" t="str">
        <f t="shared" si="25"/>
        <v/>
      </c>
    </row>
    <row r="383" spans="1:11" x14ac:dyDescent="0.25">
      <c r="A383" s="2" t="s">
        <v>762</v>
      </c>
      <c r="B383" s="2" t="s">
        <v>763</v>
      </c>
      <c r="D383" s="4" t="s">
        <v>1484</v>
      </c>
      <c r="E383" s="3" t="str">
        <f t="shared" si="22"/>
        <v xml:space="preserve">QK_MIDI_CHANNEL_5                            </v>
      </c>
      <c r="F383" s="3" t="s">
        <v>1472</v>
      </c>
      <c r="G383" s="3" t="str">
        <f t="shared" si="23"/>
        <v>0x7177</v>
      </c>
      <c r="H383" s="3" t="s">
        <v>1483</v>
      </c>
      <c r="I383" s="3" t="str">
        <f t="shared" si="24"/>
        <v/>
      </c>
      <c r="J383" s="5" t="s">
        <v>1482</v>
      </c>
      <c r="K383" s="2" t="str">
        <f t="shared" si="25"/>
        <v/>
      </c>
    </row>
    <row r="384" spans="1:11" x14ac:dyDescent="0.25">
      <c r="A384" s="2" t="s">
        <v>764</v>
      </c>
      <c r="B384" s="2" t="s">
        <v>765</v>
      </c>
      <c r="D384" s="4" t="s">
        <v>1484</v>
      </c>
      <c r="E384" s="3" t="str">
        <f t="shared" si="22"/>
        <v xml:space="preserve">QK_MIDI_CHANNEL_6                            </v>
      </c>
      <c r="F384" s="3" t="s">
        <v>1472</v>
      </c>
      <c r="G384" s="3" t="str">
        <f t="shared" si="23"/>
        <v>0x7178</v>
      </c>
      <c r="H384" s="3" t="s">
        <v>1483</v>
      </c>
      <c r="I384" s="3" t="str">
        <f t="shared" si="24"/>
        <v/>
      </c>
      <c r="J384" s="5" t="s">
        <v>1482</v>
      </c>
      <c r="K384" s="2" t="str">
        <f t="shared" si="25"/>
        <v/>
      </c>
    </row>
    <row r="385" spans="1:11" x14ac:dyDescent="0.25">
      <c r="A385" s="2" t="s">
        <v>766</v>
      </c>
      <c r="B385" s="2" t="s">
        <v>767</v>
      </c>
      <c r="D385" s="4" t="s">
        <v>1484</v>
      </c>
      <c r="E385" s="3" t="str">
        <f t="shared" si="22"/>
        <v xml:space="preserve">QK_MIDI_CHANNEL_7                            </v>
      </c>
      <c r="F385" s="3" t="s">
        <v>1472</v>
      </c>
      <c r="G385" s="3" t="str">
        <f t="shared" si="23"/>
        <v>0x7179</v>
      </c>
      <c r="H385" s="3" t="s">
        <v>1483</v>
      </c>
      <c r="I385" s="3" t="str">
        <f t="shared" si="24"/>
        <v/>
      </c>
      <c r="J385" s="5" t="s">
        <v>1482</v>
      </c>
      <c r="K385" s="2" t="str">
        <f t="shared" si="25"/>
        <v/>
      </c>
    </row>
    <row r="386" spans="1:11" x14ac:dyDescent="0.25">
      <c r="A386" s="2" t="s">
        <v>768</v>
      </c>
      <c r="B386" s="2" t="s">
        <v>769</v>
      </c>
      <c r="D386" s="4" t="s">
        <v>1484</v>
      </c>
      <c r="E386" s="3" t="str">
        <f t="shared" si="22"/>
        <v xml:space="preserve">QK_MIDI_CHANNEL_8                            </v>
      </c>
      <c r="F386" s="3" t="s">
        <v>1472</v>
      </c>
      <c r="G386" s="3" t="str">
        <f t="shared" si="23"/>
        <v>0x717A</v>
      </c>
      <c r="H386" s="3" t="s">
        <v>1483</v>
      </c>
      <c r="I386" s="3" t="str">
        <f t="shared" si="24"/>
        <v/>
      </c>
      <c r="J386" s="5" t="s">
        <v>1482</v>
      </c>
      <c r="K386" s="2" t="str">
        <f t="shared" si="25"/>
        <v/>
      </c>
    </row>
    <row r="387" spans="1:11" x14ac:dyDescent="0.25">
      <c r="A387" s="2" t="s">
        <v>770</v>
      </c>
      <c r="B387" s="2" t="s">
        <v>771</v>
      </c>
      <c r="D387" s="4" t="s">
        <v>1484</v>
      </c>
      <c r="E387" s="3" t="str">
        <f t="shared" ref="E387:E450" si="26">LEFT(A387 &amp; REPT(" ",$E$1),$E$1)</f>
        <v xml:space="preserve">QK_MIDI_CHANNEL_9                            </v>
      </c>
      <c r="F387" s="3" t="s">
        <v>1472</v>
      </c>
      <c r="G387" s="3" t="str">
        <f t="shared" ref="G387:G450" si="27">B387</f>
        <v>0x717B</v>
      </c>
      <c r="H387" s="3" t="s">
        <v>1483</v>
      </c>
      <c r="I387" s="3" t="str">
        <f t="shared" ref="I387:I450" si="28">IF(C387="","",C387)</f>
        <v/>
      </c>
      <c r="J387" s="5" t="s">
        <v>1482</v>
      </c>
      <c r="K387" s="2" t="str">
        <f t="shared" ref="K387:K450" si="29">IF(I387="","",_xlfn.CONCAT(D387:J387))</f>
        <v/>
      </c>
    </row>
    <row r="388" spans="1:11" x14ac:dyDescent="0.25">
      <c r="A388" s="2" t="s">
        <v>772</v>
      </c>
      <c r="B388" s="2" t="s">
        <v>773</v>
      </c>
      <c r="D388" s="4" t="s">
        <v>1484</v>
      </c>
      <c r="E388" s="3" t="str">
        <f t="shared" si="26"/>
        <v xml:space="preserve">QK_MIDI_CHANNEL_10                           </v>
      </c>
      <c r="F388" s="3" t="s">
        <v>1472</v>
      </c>
      <c r="G388" s="3" t="str">
        <f t="shared" si="27"/>
        <v>0x717C</v>
      </c>
      <c r="H388" s="3" t="s">
        <v>1483</v>
      </c>
      <c r="I388" s="3" t="str">
        <f t="shared" si="28"/>
        <v/>
      </c>
      <c r="J388" s="5" t="s">
        <v>1482</v>
      </c>
      <c r="K388" s="2" t="str">
        <f t="shared" si="29"/>
        <v/>
      </c>
    </row>
    <row r="389" spans="1:11" x14ac:dyDescent="0.25">
      <c r="A389" s="2" t="s">
        <v>774</v>
      </c>
      <c r="B389" s="2" t="s">
        <v>775</v>
      </c>
      <c r="D389" s="4" t="s">
        <v>1484</v>
      </c>
      <c r="E389" s="3" t="str">
        <f t="shared" si="26"/>
        <v xml:space="preserve">QK_MIDI_CHANNEL_11                           </v>
      </c>
      <c r="F389" s="3" t="s">
        <v>1472</v>
      </c>
      <c r="G389" s="3" t="str">
        <f t="shared" si="27"/>
        <v>0x717D</v>
      </c>
      <c r="H389" s="3" t="s">
        <v>1483</v>
      </c>
      <c r="I389" s="3" t="str">
        <f t="shared" si="28"/>
        <v/>
      </c>
      <c r="J389" s="5" t="s">
        <v>1482</v>
      </c>
      <c r="K389" s="2" t="str">
        <f t="shared" si="29"/>
        <v/>
      </c>
    </row>
    <row r="390" spans="1:11" x14ac:dyDescent="0.25">
      <c r="A390" s="2" t="s">
        <v>776</v>
      </c>
      <c r="B390" s="2" t="s">
        <v>777</v>
      </c>
      <c r="D390" s="4" t="s">
        <v>1484</v>
      </c>
      <c r="E390" s="3" t="str">
        <f t="shared" si="26"/>
        <v xml:space="preserve">QK_MIDI_CHANNEL_12                           </v>
      </c>
      <c r="F390" s="3" t="s">
        <v>1472</v>
      </c>
      <c r="G390" s="3" t="str">
        <f t="shared" si="27"/>
        <v>0x717E</v>
      </c>
      <c r="H390" s="3" t="s">
        <v>1483</v>
      </c>
      <c r="I390" s="3" t="str">
        <f t="shared" si="28"/>
        <v/>
      </c>
      <c r="J390" s="5" t="s">
        <v>1482</v>
      </c>
      <c r="K390" s="2" t="str">
        <f t="shared" si="29"/>
        <v/>
      </c>
    </row>
    <row r="391" spans="1:11" x14ac:dyDescent="0.25">
      <c r="A391" s="2" t="s">
        <v>778</v>
      </c>
      <c r="B391" s="2" t="s">
        <v>779</v>
      </c>
      <c r="D391" s="4" t="s">
        <v>1484</v>
      </c>
      <c r="E391" s="3" t="str">
        <f t="shared" si="26"/>
        <v xml:space="preserve">QK_MIDI_CHANNEL_13                           </v>
      </c>
      <c r="F391" s="3" t="s">
        <v>1472</v>
      </c>
      <c r="G391" s="3" t="str">
        <f t="shared" si="27"/>
        <v>0x717F</v>
      </c>
      <c r="H391" s="3" t="s">
        <v>1483</v>
      </c>
      <c r="I391" s="3" t="str">
        <f t="shared" si="28"/>
        <v/>
      </c>
      <c r="J391" s="5" t="s">
        <v>1482</v>
      </c>
      <c r="K391" s="2" t="str">
        <f t="shared" si="29"/>
        <v/>
      </c>
    </row>
    <row r="392" spans="1:11" x14ac:dyDescent="0.25">
      <c r="A392" s="2" t="s">
        <v>780</v>
      </c>
      <c r="B392" s="2" t="s">
        <v>781</v>
      </c>
      <c r="D392" s="4" t="s">
        <v>1484</v>
      </c>
      <c r="E392" s="3" t="str">
        <f t="shared" si="26"/>
        <v xml:space="preserve">QK_MIDI_CHANNEL_14                           </v>
      </c>
      <c r="F392" s="3" t="s">
        <v>1472</v>
      </c>
      <c r="G392" s="3" t="str">
        <f t="shared" si="27"/>
        <v>0x7180</v>
      </c>
      <c r="H392" s="3" t="s">
        <v>1483</v>
      </c>
      <c r="I392" s="3" t="str">
        <f t="shared" si="28"/>
        <v/>
      </c>
      <c r="J392" s="5" t="s">
        <v>1482</v>
      </c>
      <c r="K392" s="2" t="str">
        <f t="shared" si="29"/>
        <v/>
      </c>
    </row>
    <row r="393" spans="1:11" x14ac:dyDescent="0.25">
      <c r="A393" s="2" t="s">
        <v>782</v>
      </c>
      <c r="B393" s="2" t="s">
        <v>783</v>
      </c>
      <c r="D393" s="4" t="s">
        <v>1484</v>
      </c>
      <c r="E393" s="3" t="str">
        <f t="shared" si="26"/>
        <v xml:space="preserve">QK_MIDI_CHANNEL_15                           </v>
      </c>
      <c r="F393" s="3" t="s">
        <v>1472</v>
      </c>
      <c r="G393" s="3" t="str">
        <f t="shared" si="27"/>
        <v>0x7181</v>
      </c>
      <c r="H393" s="3" t="s">
        <v>1483</v>
      </c>
      <c r="I393" s="3" t="str">
        <f t="shared" si="28"/>
        <v/>
      </c>
      <c r="J393" s="5" t="s">
        <v>1482</v>
      </c>
      <c r="K393" s="2" t="str">
        <f t="shared" si="29"/>
        <v/>
      </c>
    </row>
    <row r="394" spans="1:11" x14ac:dyDescent="0.25">
      <c r="A394" s="2" t="s">
        <v>784</v>
      </c>
      <c r="B394" s="2" t="s">
        <v>785</v>
      </c>
      <c r="D394" s="4" t="s">
        <v>1484</v>
      </c>
      <c r="E394" s="3" t="str">
        <f t="shared" si="26"/>
        <v xml:space="preserve">QK_MIDI_CHANNEL_16                           </v>
      </c>
      <c r="F394" s="3" t="s">
        <v>1472</v>
      </c>
      <c r="G394" s="3" t="str">
        <f t="shared" si="27"/>
        <v>0x7182</v>
      </c>
      <c r="H394" s="3" t="s">
        <v>1483</v>
      </c>
      <c r="I394" s="3" t="str">
        <f t="shared" si="28"/>
        <v/>
      </c>
      <c r="J394" s="5" t="s">
        <v>1482</v>
      </c>
      <c r="K394" s="2" t="str">
        <f t="shared" si="29"/>
        <v/>
      </c>
    </row>
    <row r="395" spans="1:11" x14ac:dyDescent="0.25">
      <c r="A395" s="2" t="s">
        <v>786</v>
      </c>
      <c r="B395" s="2" t="s">
        <v>787</v>
      </c>
      <c r="D395" s="4" t="s">
        <v>1484</v>
      </c>
      <c r="E395" s="3" t="str">
        <f t="shared" si="26"/>
        <v xml:space="preserve">QK_MIDI_CHANNEL_DOWN                         </v>
      </c>
      <c r="F395" s="3" t="s">
        <v>1472</v>
      </c>
      <c r="G395" s="3" t="str">
        <f t="shared" si="27"/>
        <v>0x7183</v>
      </c>
      <c r="H395" s="3" t="s">
        <v>1483</v>
      </c>
      <c r="I395" s="3" t="str">
        <f t="shared" si="28"/>
        <v/>
      </c>
      <c r="J395" s="5" t="s">
        <v>1482</v>
      </c>
      <c r="K395" s="2" t="str">
        <f t="shared" si="29"/>
        <v/>
      </c>
    </row>
    <row r="396" spans="1:11" x14ac:dyDescent="0.25">
      <c r="A396" s="2" t="s">
        <v>788</v>
      </c>
      <c r="B396" s="2" t="s">
        <v>789</v>
      </c>
      <c r="D396" s="4" t="s">
        <v>1484</v>
      </c>
      <c r="E396" s="3" t="str">
        <f t="shared" si="26"/>
        <v xml:space="preserve">QK_MIDI_CHANNEL_UP                           </v>
      </c>
      <c r="F396" s="3" t="s">
        <v>1472</v>
      </c>
      <c r="G396" s="3" t="str">
        <f t="shared" si="27"/>
        <v>0x7184</v>
      </c>
      <c r="H396" s="3" t="s">
        <v>1483</v>
      </c>
      <c r="I396" s="3" t="str">
        <f t="shared" si="28"/>
        <v/>
      </c>
      <c r="J396" s="5" t="s">
        <v>1482</v>
      </c>
      <c r="K396" s="2" t="str">
        <f t="shared" si="29"/>
        <v/>
      </c>
    </row>
    <row r="397" spans="1:11" x14ac:dyDescent="0.25">
      <c r="A397" s="2" t="s">
        <v>790</v>
      </c>
      <c r="B397" s="2" t="s">
        <v>791</v>
      </c>
      <c r="D397" s="4" t="s">
        <v>1484</v>
      </c>
      <c r="E397" s="3" t="str">
        <f t="shared" si="26"/>
        <v xml:space="preserve">QK_MIDI_ALL_NOTES_OFF                        </v>
      </c>
      <c r="F397" s="3" t="s">
        <v>1472</v>
      </c>
      <c r="G397" s="3" t="str">
        <f t="shared" si="27"/>
        <v>0x7185</v>
      </c>
      <c r="H397" s="3" t="s">
        <v>1483</v>
      </c>
      <c r="I397" s="3" t="str">
        <f t="shared" si="28"/>
        <v/>
      </c>
      <c r="J397" s="5" t="s">
        <v>1482</v>
      </c>
      <c r="K397" s="2" t="str">
        <f t="shared" si="29"/>
        <v/>
      </c>
    </row>
    <row r="398" spans="1:11" x14ac:dyDescent="0.25">
      <c r="A398" s="2" t="s">
        <v>792</v>
      </c>
      <c r="B398" s="2" t="s">
        <v>793</v>
      </c>
      <c r="D398" s="4" t="s">
        <v>1484</v>
      </c>
      <c r="E398" s="3" t="str">
        <f t="shared" si="26"/>
        <v xml:space="preserve">QK_MIDI_SUSTAIN                              </v>
      </c>
      <c r="F398" s="3" t="s">
        <v>1472</v>
      </c>
      <c r="G398" s="3" t="str">
        <f t="shared" si="27"/>
        <v>0x7186</v>
      </c>
      <c r="H398" s="3" t="s">
        <v>1483</v>
      </c>
      <c r="I398" s="3" t="str">
        <f t="shared" si="28"/>
        <v/>
      </c>
      <c r="J398" s="5" t="s">
        <v>1482</v>
      </c>
      <c r="K398" s="2" t="str">
        <f t="shared" si="29"/>
        <v/>
      </c>
    </row>
    <row r="399" spans="1:11" x14ac:dyDescent="0.25">
      <c r="A399" s="2" t="s">
        <v>794</v>
      </c>
      <c r="B399" s="2" t="s">
        <v>795</v>
      </c>
      <c r="D399" s="4" t="s">
        <v>1484</v>
      </c>
      <c r="E399" s="3" t="str">
        <f t="shared" si="26"/>
        <v xml:space="preserve">QK_MIDI_PORTAMENTO                           </v>
      </c>
      <c r="F399" s="3" t="s">
        <v>1472</v>
      </c>
      <c r="G399" s="3" t="str">
        <f t="shared" si="27"/>
        <v>0x7187</v>
      </c>
      <c r="H399" s="3" t="s">
        <v>1483</v>
      </c>
      <c r="I399" s="3" t="str">
        <f t="shared" si="28"/>
        <v/>
      </c>
      <c r="J399" s="5" t="s">
        <v>1482</v>
      </c>
      <c r="K399" s="2" t="str">
        <f t="shared" si="29"/>
        <v/>
      </c>
    </row>
    <row r="400" spans="1:11" x14ac:dyDescent="0.25">
      <c r="A400" s="2" t="s">
        <v>796</v>
      </c>
      <c r="B400" s="2" t="s">
        <v>797</v>
      </c>
      <c r="D400" s="4" t="s">
        <v>1484</v>
      </c>
      <c r="E400" s="3" t="str">
        <f t="shared" si="26"/>
        <v xml:space="preserve">QK_MIDI_SOSTENUTO                            </v>
      </c>
      <c r="F400" s="3" t="s">
        <v>1472</v>
      </c>
      <c r="G400" s="3" t="str">
        <f t="shared" si="27"/>
        <v>0x7188</v>
      </c>
      <c r="H400" s="3" t="s">
        <v>1483</v>
      </c>
      <c r="I400" s="3" t="str">
        <f t="shared" si="28"/>
        <v/>
      </c>
      <c r="J400" s="5" t="s">
        <v>1482</v>
      </c>
      <c r="K400" s="2" t="str">
        <f t="shared" si="29"/>
        <v/>
      </c>
    </row>
    <row r="401" spans="1:11" x14ac:dyDescent="0.25">
      <c r="A401" s="2" t="s">
        <v>798</v>
      </c>
      <c r="B401" s="2" t="s">
        <v>799</v>
      </c>
      <c r="D401" s="4" t="s">
        <v>1484</v>
      </c>
      <c r="E401" s="3" t="str">
        <f t="shared" si="26"/>
        <v xml:space="preserve">QK_MIDI_SOFT                                 </v>
      </c>
      <c r="F401" s="3" t="s">
        <v>1472</v>
      </c>
      <c r="G401" s="3" t="str">
        <f t="shared" si="27"/>
        <v>0x7189</v>
      </c>
      <c r="H401" s="3" t="s">
        <v>1483</v>
      </c>
      <c r="I401" s="3" t="str">
        <f t="shared" si="28"/>
        <v/>
      </c>
      <c r="J401" s="5" t="s">
        <v>1482</v>
      </c>
      <c r="K401" s="2" t="str">
        <f t="shared" si="29"/>
        <v/>
      </c>
    </row>
    <row r="402" spans="1:11" x14ac:dyDescent="0.25">
      <c r="A402" s="2" t="s">
        <v>800</v>
      </c>
      <c r="B402" s="2" t="s">
        <v>801</v>
      </c>
      <c r="D402" s="4" t="s">
        <v>1484</v>
      </c>
      <c r="E402" s="3" t="str">
        <f t="shared" si="26"/>
        <v xml:space="preserve">QK_MIDI_LEGATO                               </v>
      </c>
      <c r="F402" s="3" t="s">
        <v>1472</v>
      </c>
      <c r="G402" s="3" t="str">
        <f t="shared" si="27"/>
        <v>0x718A</v>
      </c>
      <c r="H402" s="3" t="s">
        <v>1483</v>
      </c>
      <c r="I402" s="3" t="str">
        <f t="shared" si="28"/>
        <v/>
      </c>
      <c r="J402" s="5" t="s">
        <v>1482</v>
      </c>
      <c r="K402" s="2" t="str">
        <f t="shared" si="29"/>
        <v/>
      </c>
    </row>
    <row r="403" spans="1:11" x14ac:dyDescent="0.25">
      <c r="A403" s="2" t="s">
        <v>802</v>
      </c>
      <c r="B403" s="2" t="s">
        <v>803</v>
      </c>
      <c r="D403" s="4" t="s">
        <v>1484</v>
      </c>
      <c r="E403" s="3" t="str">
        <f t="shared" si="26"/>
        <v xml:space="preserve">QK_MIDI_MODULATION                           </v>
      </c>
      <c r="F403" s="3" t="s">
        <v>1472</v>
      </c>
      <c r="G403" s="3" t="str">
        <f t="shared" si="27"/>
        <v>0x718B</v>
      </c>
      <c r="H403" s="3" t="s">
        <v>1483</v>
      </c>
      <c r="I403" s="3" t="str">
        <f t="shared" si="28"/>
        <v/>
      </c>
      <c r="J403" s="5" t="s">
        <v>1482</v>
      </c>
      <c r="K403" s="2" t="str">
        <f t="shared" si="29"/>
        <v/>
      </c>
    </row>
    <row r="404" spans="1:11" x14ac:dyDescent="0.25">
      <c r="A404" s="2" t="s">
        <v>804</v>
      </c>
      <c r="B404" s="2" t="s">
        <v>805</v>
      </c>
      <c r="D404" s="4" t="s">
        <v>1484</v>
      </c>
      <c r="E404" s="3" t="str">
        <f t="shared" si="26"/>
        <v xml:space="preserve">QK_MIDI_MODULATION_SPEED_DOWN                </v>
      </c>
      <c r="F404" s="3" t="s">
        <v>1472</v>
      </c>
      <c r="G404" s="3" t="str">
        <f t="shared" si="27"/>
        <v>0x718C</v>
      </c>
      <c r="H404" s="3" t="s">
        <v>1483</v>
      </c>
      <c r="I404" s="3" t="str">
        <f t="shared" si="28"/>
        <v/>
      </c>
      <c r="J404" s="5" t="s">
        <v>1482</v>
      </c>
      <c r="K404" s="2" t="str">
        <f t="shared" si="29"/>
        <v/>
      </c>
    </row>
    <row r="405" spans="1:11" x14ac:dyDescent="0.25">
      <c r="A405" s="2" t="s">
        <v>806</v>
      </c>
      <c r="B405" s="2" t="s">
        <v>807</v>
      </c>
      <c r="D405" s="4" t="s">
        <v>1484</v>
      </c>
      <c r="E405" s="3" t="str">
        <f t="shared" si="26"/>
        <v xml:space="preserve">QK_MIDI_MODULATION_SPEED_UP                  </v>
      </c>
      <c r="F405" s="3" t="s">
        <v>1472</v>
      </c>
      <c r="G405" s="3" t="str">
        <f t="shared" si="27"/>
        <v>0x718D</v>
      </c>
      <c r="H405" s="3" t="s">
        <v>1483</v>
      </c>
      <c r="I405" s="3" t="str">
        <f t="shared" si="28"/>
        <v/>
      </c>
      <c r="J405" s="5" t="s">
        <v>1482</v>
      </c>
      <c r="K405" s="2" t="str">
        <f t="shared" si="29"/>
        <v/>
      </c>
    </row>
    <row r="406" spans="1:11" x14ac:dyDescent="0.25">
      <c r="A406" s="2" t="s">
        <v>808</v>
      </c>
      <c r="B406" s="2" t="s">
        <v>809</v>
      </c>
      <c r="D406" s="4" t="s">
        <v>1484</v>
      </c>
      <c r="E406" s="3" t="str">
        <f t="shared" si="26"/>
        <v xml:space="preserve">QK_MIDI_PITCH_BEND_DOWN                      </v>
      </c>
      <c r="F406" s="3" t="s">
        <v>1472</v>
      </c>
      <c r="G406" s="3" t="str">
        <f t="shared" si="27"/>
        <v>0x718E</v>
      </c>
      <c r="H406" s="3" t="s">
        <v>1483</v>
      </c>
      <c r="I406" s="3" t="str">
        <f t="shared" si="28"/>
        <v/>
      </c>
      <c r="J406" s="5" t="s">
        <v>1482</v>
      </c>
      <c r="K406" s="2" t="str">
        <f t="shared" si="29"/>
        <v/>
      </c>
    </row>
    <row r="407" spans="1:11" x14ac:dyDescent="0.25">
      <c r="A407" s="2" t="s">
        <v>810</v>
      </c>
      <c r="B407" s="2" t="s">
        <v>811</v>
      </c>
      <c r="D407" s="4" t="s">
        <v>1484</v>
      </c>
      <c r="E407" s="3" t="str">
        <f t="shared" si="26"/>
        <v xml:space="preserve">QK_MIDI_PITCH_BEND_UP                        </v>
      </c>
      <c r="F407" s="3" t="s">
        <v>1472</v>
      </c>
      <c r="G407" s="3" t="str">
        <f t="shared" si="27"/>
        <v>0x718F</v>
      </c>
      <c r="H407" s="3" t="s">
        <v>1483</v>
      </c>
      <c r="I407" s="3" t="str">
        <f t="shared" si="28"/>
        <v/>
      </c>
      <c r="J407" s="5" t="s">
        <v>1482</v>
      </c>
      <c r="K407" s="2" t="str">
        <f t="shared" si="29"/>
        <v/>
      </c>
    </row>
    <row r="408" spans="1:11" x14ac:dyDescent="0.25">
      <c r="A408" s="2" t="s">
        <v>812</v>
      </c>
      <c r="B408" s="2" t="s">
        <v>813</v>
      </c>
      <c r="D408" s="4" t="s">
        <v>1484</v>
      </c>
      <c r="E408" s="3" t="str">
        <f t="shared" si="26"/>
        <v xml:space="preserve">QK_SEQUENCER_ON                              </v>
      </c>
      <c r="F408" s="3" t="s">
        <v>1472</v>
      </c>
      <c r="G408" s="3" t="str">
        <f t="shared" si="27"/>
        <v>0x7200</v>
      </c>
      <c r="H408" s="3" t="s">
        <v>1483</v>
      </c>
      <c r="I408" s="3" t="str">
        <f t="shared" si="28"/>
        <v/>
      </c>
      <c r="J408" s="5" t="s">
        <v>1482</v>
      </c>
      <c r="K408" s="2" t="str">
        <f t="shared" si="29"/>
        <v/>
      </c>
    </row>
    <row r="409" spans="1:11" x14ac:dyDescent="0.25">
      <c r="A409" s="2" t="s">
        <v>814</v>
      </c>
      <c r="B409" s="2" t="s">
        <v>815</v>
      </c>
      <c r="D409" s="4" t="s">
        <v>1484</v>
      </c>
      <c r="E409" s="3" t="str">
        <f t="shared" si="26"/>
        <v xml:space="preserve">QK_SEQUENCER_OFF                             </v>
      </c>
      <c r="F409" s="3" t="s">
        <v>1472</v>
      </c>
      <c r="G409" s="3" t="str">
        <f t="shared" si="27"/>
        <v>0x7201</v>
      </c>
      <c r="H409" s="3" t="s">
        <v>1483</v>
      </c>
      <c r="I409" s="3" t="str">
        <f t="shared" si="28"/>
        <v/>
      </c>
      <c r="J409" s="5" t="s">
        <v>1482</v>
      </c>
      <c r="K409" s="2" t="str">
        <f t="shared" si="29"/>
        <v/>
      </c>
    </row>
    <row r="410" spans="1:11" x14ac:dyDescent="0.25">
      <c r="A410" s="2" t="s">
        <v>816</v>
      </c>
      <c r="B410" s="2" t="s">
        <v>817</v>
      </c>
      <c r="D410" s="4" t="s">
        <v>1484</v>
      </c>
      <c r="E410" s="3" t="str">
        <f t="shared" si="26"/>
        <v xml:space="preserve">QK_SEQUENCER_TOGGLE                          </v>
      </c>
      <c r="F410" s="3" t="s">
        <v>1472</v>
      </c>
      <c r="G410" s="3" t="str">
        <f t="shared" si="27"/>
        <v>0x7202</v>
      </c>
      <c r="H410" s="3" t="s">
        <v>1483</v>
      </c>
      <c r="I410" s="3" t="str">
        <f t="shared" si="28"/>
        <v/>
      </c>
      <c r="J410" s="5" t="s">
        <v>1482</v>
      </c>
      <c r="K410" s="2" t="str">
        <f t="shared" si="29"/>
        <v/>
      </c>
    </row>
    <row r="411" spans="1:11" x14ac:dyDescent="0.25">
      <c r="A411" s="2" t="s">
        <v>818</v>
      </c>
      <c r="B411" s="2" t="s">
        <v>819</v>
      </c>
      <c r="D411" s="4" t="s">
        <v>1484</v>
      </c>
      <c r="E411" s="3" t="str">
        <f t="shared" si="26"/>
        <v xml:space="preserve">QK_SEQUENCER_TEMPO_DOWN                      </v>
      </c>
      <c r="F411" s="3" t="s">
        <v>1472</v>
      </c>
      <c r="G411" s="3" t="str">
        <f t="shared" si="27"/>
        <v>0x7203</v>
      </c>
      <c r="H411" s="3" t="s">
        <v>1483</v>
      </c>
      <c r="I411" s="3" t="str">
        <f t="shared" si="28"/>
        <v/>
      </c>
      <c r="J411" s="5" t="s">
        <v>1482</v>
      </c>
      <c r="K411" s="2" t="str">
        <f t="shared" si="29"/>
        <v/>
      </c>
    </row>
    <row r="412" spans="1:11" x14ac:dyDescent="0.25">
      <c r="A412" s="2" t="s">
        <v>820</v>
      </c>
      <c r="B412" s="2" t="s">
        <v>821</v>
      </c>
      <c r="D412" s="4" t="s">
        <v>1484</v>
      </c>
      <c r="E412" s="3" t="str">
        <f t="shared" si="26"/>
        <v xml:space="preserve">QK_SEQUENCER_TEMPO_UP                        </v>
      </c>
      <c r="F412" s="3" t="s">
        <v>1472</v>
      </c>
      <c r="G412" s="3" t="str">
        <f t="shared" si="27"/>
        <v>0x7204</v>
      </c>
      <c r="H412" s="3" t="s">
        <v>1483</v>
      </c>
      <c r="I412" s="3" t="str">
        <f t="shared" si="28"/>
        <v/>
      </c>
      <c r="J412" s="5" t="s">
        <v>1482</v>
      </c>
      <c r="K412" s="2" t="str">
        <f t="shared" si="29"/>
        <v/>
      </c>
    </row>
    <row r="413" spans="1:11" x14ac:dyDescent="0.25">
      <c r="A413" s="2" t="s">
        <v>822</v>
      </c>
      <c r="B413" s="2" t="s">
        <v>823</v>
      </c>
      <c r="D413" s="4" t="s">
        <v>1484</v>
      </c>
      <c r="E413" s="3" t="str">
        <f t="shared" si="26"/>
        <v xml:space="preserve">QK_SEQUENCER_RESOLUTION_DOWN                 </v>
      </c>
      <c r="F413" s="3" t="s">
        <v>1472</v>
      </c>
      <c r="G413" s="3" t="str">
        <f t="shared" si="27"/>
        <v>0x7205</v>
      </c>
      <c r="H413" s="3" t="s">
        <v>1483</v>
      </c>
      <c r="I413" s="3" t="str">
        <f t="shared" si="28"/>
        <v/>
      </c>
      <c r="J413" s="5" t="s">
        <v>1482</v>
      </c>
      <c r="K413" s="2" t="str">
        <f t="shared" si="29"/>
        <v/>
      </c>
    </row>
    <row r="414" spans="1:11" x14ac:dyDescent="0.25">
      <c r="A414" s="2" t="s">
        <v>824</v>
      </c>
      <c r="B414" s="2" t="s">
        <v>825</v>
      </c>
      <c r="D414" s="4" t="s">
        <v>1484</v>
      </c>
      <c r="E414" s="3" t="str">
        <f t="shared" si="26"/>
        <v xml:space="preserve">QK_SEQUENCER_RESOLUTION_UP                   </v>
      </c>
      <c r="F414" s="3" t="s">
        <v>1472</v>
      </c>
      <c r="G414" s="3" t="str">
        <f t="shared" si="27"/>
        <v>0x7206</v>
      </c>
      <c r="H414" s="3" t="s">
        <v>1483</v>
      </c>
      <c r="I414" s="3" t="str">
        <f t="shared" si="28"/>
        <v/>
      </c>
      <c r="J414" s="5" t="s">
        <v>1482</v>
      </c>
      <c r="K414" s="2" t="str">
        <f t="shared" si="29"/>
        <v/>
      </c>
    </row>
    <row r="415" spans="1:11" x14ac:dyDescent="0.25">
      <c r="A415" s="2" t="s">
        <v>826</v>
      </c>
      <c r="B415" s="2" t="s">
        <v>827</v>
      </c>
      <c r="D415" s="4" t="s">
        <v>1484</v>
      </c>
      <c r="E415" s="3" t="str">
        <f t="shared" si="26"/>
        <v xml:space="preserve">QK_SEQUENCER_STEPS_ALL                       </v>
      </c>
      <c r="F415" s="3" t="s">
        <v>1472</v>
      </c>
      <c r="G415" s="3" t="str">
        <f t="shared" si="27"/>
        <v>0x7207</v>
      </c>
      <c r="H415" s="3" t="s">
        <v>1483</v>
      </c>
      <c r="I415" s="3" t="str">
        <f t="shared" si="28"/>
        <v/>
      </c>
      <c r="J415" s="5" t="s">
        <v>1482</v>
      </c>
      <c r="K415" s="2" t="str">
        <f t="shared" si="29"/>
        <v/>
      </c>
    </row>
    <row r="416" spans="1:11" x14ac:dyDescent="0.25">
      <c r="A416" s="2" t="s">
        <v>828</v>
      </c>
      <c r="B416" s="2" t="s">
        <v>829</v>
      </c>
      <c r="D416" s="4" t="s">
        <v>1484</v>
      </c>
      <c r="E416" s="3" t="str">
        <f t="shared" si="26"/>
        <v xml:space="preserve">QK_SEQUENCER_STEPS_CLEAR                     </v>
      </c>
      <c r="F416" s="3" t="s">
        <v>1472</v>
      </c>
      <c r="G416" s="3" t="str">
        <f t="shared" si="27"/>
        <v>0x7208</v>
      </c>
      <c r="H416" s="3" t="s">
        <v>1483</v>
      </c>
      <c r="I416" s="3" t="str">
        <f t="shared" si="28"/>
        <v/>
      </c>
      <c r="J416" s="5" t="s">
        <v>1482</v>
      </c>
      <c r="K416" s="2" t="str">
        <f t="shared" si="29"/>
        <v/>
      </c>
    </row>
    <row r="417" spans="1:11" x14ac:dyDescent="0.25">
      <c r="A417" s="2" t="s">
        <v>830</v>
      </c>
      <c r="B417" s="2" t="s">
        <v>831</v>
      </c>
      <c r="D417" s="4" t="s">
        <v>1484</v>
      </c>
      <c r="E417" s="3" t="str">
        <f t="shared" si="26"/>
        <v xml:space="preserve">QK_JOYSTICK_BUTTON_0                         </v>
      </c>
      <c r="F417" s="3" t="s">
        <v>1472</v>
      </c>
      <c r="G417" s="3" t="str">
        <f t="shared" si="27"/>
        <v>0x7400</v>
      </c>
      <c r="H417" s="3" t="s">
        <v>1483</v>
      </c>
      <c r="I417" s="3" t="str">
        <f t="shared" si="28"/>
        <v/>
      </c>
      <c r="J417" s="5" t="s">
        <v>1482</v>
      </c>
      <c r="K417" s="2" t="str">
        <f t="shared" si="29"/>
        <v/>
      </c>
    </row>
    <row r="418" spans="1:11" x14ac:dyDescent="0.25">
      <c r="A418" s="2" t="s">
        <v>832</v>
      </c>
      <c r="B418" s="2" t="s">
        <v>833</v>
      </c>
      <c r="D418" s="4" t="s">
        <v>1484</v>
      </c>
      <c r="E418" s="3" t="str">
        <f t="shared" si="26"/>
        <v xml:space="preserve">QK_JOYSTICK_BUTTON_1                         </v>
      </c>
      <c r="F418" s="3" t="s">
        <v>1472</v>
      </c>
      <c r="G418" s="3" t="str">
        <f t="shared" si="27"/>
        <v>0x7401</v>
      </c>
      <c r="H418" s="3" t="s">
        <v>1483</v>
      </c>
      <c r="I418" s="3" t="str">
        <f t="shared" si="28"/>
        <v/>
      </c>
      <c r="J418" s="5" t="s">
        <v>1482</v>
      </c>
      <c r="K418" s="2" t="str">
        <f t="shared" si="29"/>
        <v/>
      </c>
    </row>
    <row r="419" spans="1:11" x14ac:dyDescent="0.25">
      <c r="A419" s="2" t="s">
        <v>834</v>
      </c>
      <c r="B419" s="2" t="s">
        <v>835</v>
      </c>
      <c r="D419" s="4" t="s">
        <v>1484</v>
      </c>
      <c r="E419" s="3" t="str">
        <f t="shared" si="26"/>
        <v xml:space="preserve">QK_JOYSTICK_BUTTON_2                         </v>
      </c>
      <c r="F419" s="3" t="s">
        <v>1472</v>
      </c>
      <c r="G419" s="3" t="str">
        <f t="shared" si="27"/>
        <v>0x7402</v>
      </c>
      <c r="H419" s="3" t="s">
        <v>1483</v>
      </c>
      <c r="I419" s="3" t="str">
        <f t="shared" si="28"/>
        <v/>
      </c>
      <c r="J419" s="5" t="s">
        <v>1482</v>
      </c>
      <c r="K419" s="2" t="str">
        <f t="shared" si="29"/>
        <v/>
      </c>
    </row>
    <row r="420" spans="1:11" x14ac:dyDescent="0.25">
      <c r="A420" s="2" t="s">
        <v>836</v>
      </c>
      <c r="B420" s="2" t="s">
        <v>837</v>
      </c>
      <c r="D420" s="4" t="s">
        <v>1484</v>
      </c>
      <c r="E420" s="3" t="str">
        <f t="shared" si="26"/>
        <v xml:space="preserve">QK_JOYSTICK_BUTTON_3                         </v>
      </c>
      <c r="F420" s="3" t="s">
        <v>1472</v>
      </c>
      <c r="G420" s="3" t="str">
        <f t="shared" si="27"/>
        <v>0x7403</v>
      </c>
      <c r="H420" s="3" t="s">
        <v>1483</v>
      </c>
      <c r="I420" s="3" t="str">
        <f t="shared" si="28"/>
        <v/>
      </c>
      <c r="J420" s="5" t="s">
        <v>1482</v>
      </c>
      <c r="K420" s="2" t="str">
        <f t="shared" si="29"/>
        <v/>
      </c>
    </row>
    <row r="421" spans="1:11" x14ac:dyDescent="0.25">
      <c r="A421" s="2" t="s">
        <v>838</v>
      </c>
      <c r="B421" s="2" t="s">
        <v>839</v>
      </c>
      <c r="D421" s="4" t="s">
        <v>1484</v>
      </c>
      <c r="E421" s="3" t="str">
        <f t="shared" si="26"/>
        <v xml:space="preserve">QK_JOYSTICK_BUTTON_4                         </v>
      </c>
      <c r="F421" s="3" t="s">
        <v>1472</v>
      </c>
      <c r="G421" s="3" t="str">
        <f t="shared" si="27"/>
        <v>0x7404</v>
      </c>
      <c r="H421" s="3" t="s">
        <v>1483</v>
      </c>
      <c r="I421" s="3" t="str">
        <f t="shared" si="28"/>
        <v/>
      </c>
      <c r="J421" s="5" t="s">
        <v>1482</v>
      </c>
      <c r="K421" s="2" t="str">
        <f t="shared" si="29"/>
        <v/>
      </c>
    </row>
    <row r="422" spans="1:11" x14ac:dyDescent="0.25">
      <c r="A422" s="2" t="s">
        <v>840</v>
      </c>
      <c r="B422" s="2" t="s">
        <v>841</v>
      </c>
      <c r="D422" s="4" t="s">
        <v>1484</v>
      </c>
      <c r="E422" s="3" t="str">
        <f t="shared" si="26"/>
        <v xml:space="preserve">QK_JOYSTICK_BUTTON_5                         </v>
      </c>
      <c r="F422" s="3" t="s">
        <v>1472</v>
      </c>
      <c r="G422" s="3" t="str">
        <f t="shared" si="27"/>
        <v>0x7405</v>
      </c>
      <c r="H422" s="3" t="s">
        <v>1483</v>
      </c>
      <c r="I422" s="3" t="str">
        <f t="shared" si="28"/>
        <v/>
      </c>
      <c r="J422" s="5" t="s">
        <v>1482</v>
      </c>
      <c r="K422" s="2" t="str">
        <f t="shared" si="29"/>
        <v/>
      </c>
    </row>
    <row r="423" spans="1:11" x14ac:dyDescent="0.25">
      <c r="A423" s="2" t="s">
        <v>842</v>
      </c>
      <c r="B423" s="2" t="s">
        <v>843</v>
      </c>
      <c r="D423" s="4" t="s">
        <v>1484</v>
      </c>
      <c r="E423" s="3" t="str">
        <f t="shared" si="26"/>
        <v xml:space="preserve">QK_JOYSTICK_BUTTON_6                         </v>
      </c>
      <c r="F423" s="3" t="s">
        <v>1472</v>
      </c>
      <c r="G423" s="3" t="str">
        <f t="shared" si="27"/>
        <v>0x7406</v>
      </c>
      <c r="H423" s="3" t="s">
        <v>1483</v>
      </c>
      <c r="I423" s="3" t="str">
        <f t="shared" si="28"/>
        <v/>
      </c>
      <c r="J423" s="5" t="s">
        <v>1482</v>
      </c>
      <c r="K423" s="2" t="str">
        <f t="shared" si="29"/>
        <v/>
      </c>
    </row>
    <row r="424" spans="1:11" x14ac:dyDescent="0.25">
      <c r="A424" s="2" t="s">
        <v>844</v>
      </c>
      <c r="B424" s="2" t="s">
        <v>845</v>
      </c>
      <c r="D424" s="4" t="s">
        <v>1484</v>
      </c>
      <c r="E424" s="3" t="str">
        <f t="shared" si="26"/>
        <v xml:space="preserve">QK_JOYSTICK_BUTTON_7                         </v>
      </c>
      <c r="F424" s="3" t="s">
        <v>1472</v>
      </c>
      <c r="G424" s="3" t="str">
        <f t="shared" si="27"/>
        <v>0x7407</v>
      </c>
      <c r="H424" s="3" t="s">
        <v>1483</v>
      </c>
      <c r="I424" s="3" t="str">
        <f t="shared" si="28"/>
        <v/>
      </c>
      <c r="J424" s="5" t="s">
        <v>1482</v>
      </c>
      <c r="K424" s="2" t="str">
        <f t="shared" si="29"/>
        <v/>
      </c>
    </row>
    <row r="425" spans="1:11" x14ac:dyDescent="0.25">
      <c r="A425" s="2" t="s">
        <v>846</v>
      </c>
      <c r="B425" s="2" t="s">
        <v>847</v>
      </c>
      <c r="D425" s="4" t="s">
        <v>1484</v>
      </c>
      <c r="E425" s="3" t="str">
        <f t="shared" si="26"/>
        <v xml:space="preserve">QK_JOYSTICK_BUTTON_8                         </v>
      </c>
      <c r="F425" s="3" t="s">
        <v>1472</v>
      </c>
      <c r="G425" s="3" t="str">
        <f t="shared" si="27"/>
        <v>0x7408</v>
      </c>
      <c r="H425" s="3" t="s">
        <v>1483</v>
      </c>
      <c r="I425" s="3" t="str">
        <f t="shared" si="28"/>
        <v/>
      </c>
      <c r="J425" s="5" t="s">
        <v>1482</v>
      </c>
      <c r="K425" s="2" t="str">
        <f t="shared" si="29"/>
        <v/>
      </c>
    </row>
    <row r="426" spans="1:11" x14ac:dyDescent="0.25">
      <c r="A426" s="2" t="s">
        <v>848</v>
      </c>
      <c r="B426" s="2" t="s">
        <v>849</v>
      </c>
      <c r="D426" s="4" t="s">
        <v>1484</v>
      </c>
      <c r="E426" s="3" t="str">
        <f t="shared" si="26"/>
        <v xml:space="preserve">QK_JOYSTICK_BUTTON_9                         </v>
      </c>
      <c r="F426" s="3" t="s">
        <v>1472</v>
      </c>
      <c r="G426" s="3" t="str">
        <f t="shared" si="27"/>
        <v>0x7409</v>
      </c>
      <c r="H426" s="3" t="s">
        <v>1483</v>
      </c>
      <c r="I426" s="3" t="str">
        <f t="shared" si="28"/>
        <v/>
      </c>
      <c r="J426" s="5" t="s">
        <v>1482</v>
      </c>
      <c r="K426" s="2" t="str">
        <f t="shared" si="29"/>
        <v/>
      </c>
    </row>
    <row r="427" spans="1:11" x14ac:dyDescent="0.25">
      <c r="A427" s="2" t="s">
        <v>850</v>
      </c>
      <c r="B427" s="2" t="s">
        <v>851</v>
      </c>
      <c r="D427" s="4" t="s">
        <v>1484</v>
      </c>
      <c r="E427" s="3" t="str">
        <f t="shared" si="26"/>
        <v xml:space="preserve">QK_JOYSTICK_BUTTON_10                        </v>
      </c>
      <c r="F427" s="3" t="s">
        <v>1472</v>
      </c>
      <c r="G427" s="3" t="str">
        <f t="shared" si="27"/>
        <v>0x740A</v>
      </c>
      <c r="H427" s="3" t="s">
        <v>1483</v>
      </c>
      <c r="I427" s="3" t="str">
        <f t="shared" si="28"/>
        <v/>
      </c>
      <c r="J427" s="5" t="s">
        <v>1482</v>
      </c>
      <c r="K427" s="2" t="str">
        <f t="shared" si="29"/>
        <v/>
      </c>
    </row>
    <row r="428" spans="1:11" x14ac:dyDescent="0.25">
      <c r="A428" s="2" t="s">
        <v>852</v>
      </c>
      <c r="B428" s="2" t="s">
        <v>853</v>
      </c>
      <c r="D428" s="4" t="s">
        <v>1484</v>
      </c>
      <c r="E428" s="3" t="str">
        <f t="shared" si="26"/>
        <v xml:space="preserve">QK_JOYSTICK_BUTTON_11                        </v>
      </c>
      <c r="F428" s="3" t="s">
        <v>1472</v>
      </c>
      <c r="G428" s="3" t="str">
        <f t="shared" si="27"/>
        <v>0x740B</v>
      </c>
      <c r="H428" s="3" t="s">
        <v>1483</v>
      </c>
      <c r="I428" s="3" t="str">
        <f t="shared" si="28"/>
        <v/>
      </c>
      <c r="J428" s="5" t="s">
        <v>1482</v>
      </c>
      <c r="K428" s="2" t="str">
        <f t="shared" si="29"/>
        <v/>
      </c>
    </row>
    <row r="429" spans="1:11" x14ac:dyDescent="0.25">
      <c r="A429" s="2" t="s">
        <v>854</v>
      </c>
      <c r="B429" s="2" t="s">
        <v>855</v>
      </c>
      <c r="D429" s="4" t="s">
        <v>1484</v>
      </c>
      <c r="E429" s="3" t="str">
        <f t="shared" si="26"/>
        <v xml:space="preserve">QK_JOYSTICK_BUTTON_12                        </v>
      </c>
      <c r="F429" s="3" t="s">
        <v>1472</v>
      </c>
      <c r="G429" s="3" t="str">
        <f t="shared" si="27"/>
        <v>0x740C</v>
      </c>
      <c r="H429" s="3" t="s">
        <v>1483</v>
      </c>
      <c r="I429" s="3" t="str">
        <f t="shared" si="28"/>
        <v/>
      </c>
      <c r="J429" s="5" t="s">
        <v>1482</v>
      </c>
      <c r="K429" s="2" t="str">
        <f t="shared" si="29"/>
        <v/>
      </c>
    </row>
    <row r="430" spans="1:11" x14ac:dyDescent="0.25">
      <c r="A430" s="2" t="s">
        <v>856</v>
      </c>
      <c r="B430" s="2" t="s">
        <v>857</v>
      </c>
      <c r="D430" s="4" t="s">
        <v>1484</v>
      </c>
      <c r="E430" s="3" t="str">
        <f t="shared" si="26"/>
        <v xml:space="preserve">QK_JOYSTICK_BUTTON_13                        </v>
      </c>
      <c r="F430" s="3" t="s">
        <v>1472</v>
      </c>
      <c r="G430" s="3" t="str">
        <f t="shared" si="27"/>
        <v>0x740D</v>
      </c>
      <c r="H430" s="3" t="s">
        <v>1483</v>
      </c>
      <c r="I430" s="3" t="str">
        <f t="shared" si="28"/>
        <v/>
      </c>
      <c r="J430" s="5" t="s">
        <v>1482</v>
      </c>
      <c r="K430" s="2" t="str">
        <f t="shared" si="29"/>
        <v/>
      </c>
    </row>
    <row r="431" spans="1:11" x14ac:dyDescent="0.25">
      <c r="A431" s="2" t="s">
        <v>858</v>
      </c>
      <c r="B431" s="2" t="s">
        <v>859</v>
      </c>
      <c r="D431" s="4" t="s">
        <v>1484</v>
      </c>
      <c r="E431" s="3" t="str">
        <f t="shared" si="26"/>
        <v xml:space="preserve">QK_JOYSTICK_BUTTON_14                        </v>
      </c>
      <c r="F431" s="3" t="s">
        <v>1472</v>
      </c>
      <c r="G431" s="3" t="str">
        <f t="shared" si="27"/>
        <v>0x740E</v>
      </c>
      <c r="H431" s="3" t="s">
        <v>1483</v>
      </c>
      <c r="I431" s="3" t="str">
        <f t="shared" si="28"/>
        <v/>
      </c>
      <c r="J431" s="5" t="s">
        <v>1482</v>
      </c>
      <c r="K431" s="2" t="str">
        <f t="shared" si="29"/>
        <v/>
      </c>
    </row>
    <row r="432" spans="1:11" x14ac:dyDescent="0.25">
      <c r="A432" s="2" t="s">
        <v>860</v>
      </c>
      <c r="B432" s="2" t="s">
        <v>861</v>
      </c>
      <c r="D432" s="4" t="s">
        <v>1484</v>
      </c>
      <c r="E432" s="3" t="str">
        <f t="shared" si="26"/>
        <v xml:space="preserve">QK_JOYSTICK_BUTTON_15                        </v>
      </c>
      <c r="F432" s="3" t="s">
        <v>1472</v>
      </c>
      <c r="G432" s="3" t="str">
        <f t="shared" si="27"/>
        <v>0x740F</v>
      </c>
      <c r="H432" s="3" t="s">
        <v>1483</v>
      </c>
      <c r="I432" s="3" t="str">
        <f t="shared" si="28"/>
        <v/>
      </c>
      <c r="J432" s="5" t="s">
        <v>1482</v>
      </c>
      <c r="K432" s="2" t="str">
        <f t="shared" si="29"/>
        <v/>
      </c>
    </row>
    <row r="433" spans="1:11" x14ac:dyDescent="0.25">
      <c r="A433" s="2" t="s">
        <v>862</v>
      </c>
      <c r="B433" s="2" t="s">
        <v>863</v>
      </c>
      <c r="D433" s="4" t="s">
        <v>1484</v>
      </c>
      <c r="E433" s="3" t="str">
        <f t="shared" si="26"/>
        <v xml:space="preserve">QK_JOYSTICK_BUTTON_16                        </v>
      </c>
      <c r="F433" s="3" t="s">
        <v>1472</v>
      </c>
      <c r="G433" s="3" t="str">
        <f t="shared" si="27"/>
        <v>0x7410</v>
      </c>
      <c r="H433" s="3" t="s">
        <v>1483</v>
      </c>
      <c r="I433" s="3" t="str">
        <f t="shared" si="28"/>
        <v/>
      </c>
      <c r="J433" s="5" t="s">
        <v>1482</v>
      </c>
      <c r="K433" s="2" t="str">
        <f t="shared" si="29"/>
        <v/>
      </c>
    </row>
    <row r="434" spans="1:11" x14ac:dyDescent="0.25">
      <c r="A434" s="2" t="s">
        <v>864</v>
      </c>
      <c r="B434" s="2" t="s">
        <v>865</v>
      </c>
      <c r="D434" s="4" t="s">
        <v>1484</v>
      </c>
      <c r="E434" s="3" t="str">
        <f t="shared" si="26"/>
        <v xml:space="preserve">QK_JOYSTICK_BUTTON_17                        </v>
      </c>
      <c r="F434" s="3" t="s">
        <v>1472</v>
      </c>
      <c r="G434" s="3" t="str">
        <f t="shared" si="27"/>
        <v>0x7411</v>
      </c>
      <c r="H434" s="3" t="s">
        <v>1483</v>
      </c>
      <c r="I434" s="3" t="str">
        <f t="shared" si="28"/>
        <v/>
      </c>
      <c r="J434" s="5" t="s">
        <v>1482</v>
      </c>
      <c r="K434" s="2" t="str">
        <f t="shared" si="29"/>
        <v/>
      </c>
    </row>
    <row r="435" spans="1:11" x14ac:dyDescent="0.25">
      <c r="A435" s="2" t="s">
        <v>866</v>
      </c>
      <c r="B435" s="2" t="s">
        <v>867</v>
      </c>
      <c r="D435" s="4" t="s">
        <v>1484</v>
      </c>
      <c r="E435" s="3" t="str">
        <f t="shared" si="26"/>
        <v xml:space="preserve">QK_JOYSTICK_BUTTON_18                        </v>
      </c>
      <c r="F435" s="3" t="s">
        <v>1472</v>
      </c>
      <c r="G435" s="3" t="str">
        <f t="shared" si="27"/>
        <v>0x7412</v>
      </c>
      <c r="H435" s="3" t="s">
        <v>1483</v>
      </c>
      <c r="I435" s="3" t="str">
        <f t="shared" si="28"/>
        <v/>
      </c>
      <c r="J435" s="5" t="s">
        <v>1482</v>
      </c>
      <c r="K435" s="2" t="str">
        <f t="shared" si="29"/>
        <v/>
      </c>
    </row>
    <row r="436" spans="1:11" x14ac:dyDescent="0.25">
      <c r="A436" s="2" t="s">
        <v>868</v>
      </c>
      <c r="B436" s="2" t="s">
        <v>869</v>
      </c>
      <c r="D436" s="4" t="s">
        <v>1484</v>
      </c>
      <c r="E436" s="3" t="str">
        <f t="shared" si="26"/>
        <v xml:space="preserve">QK_JOYSTICK_BUTTON_19                        </v>
      </c>
      <c r="F436" s="3" t="s">
        <v>1472</v>
      </c>
      <c r="G436" s="3" t="str">
        <f t="shared" si="27"/>
        <v>0x7413</v>
      </c>
      <c r="H436" s="3" t="s">
        <v>1483</v>
      </c>
      <c r="I436" s="3" t="str">
        <f t="shared" si="28"/>
        <v/>
      </c>
      <c r="J436" s="5" t="s">
        <v>1482</v>
      </c>
      <c r="K436" s="2" t="str">
        <f t="shared" si="29"/>
        <v/>
      </c>
    </row>
    <row r="437" spans="1:11" x14ac:dyDescent="0.25">
      <c r="A437" s="2" t="s">
        <v>870</v>
      </c>
      <c r="B437" s="2" t="s">
        <v>871</v>
      </c>
      <c r="D437" s="4" t="s">
        <v>1484</v>
      </c>
      <c r="E437" s="3" t="str">
        <f t="shared" si="26"/>
        <v xml:space="preserve">QK_JOYSTICK_BUTTON_20                        </v>
      </c>
      <c r="F437" s="3" t="s">
        <v>1472</v>
      </c>
      <c r="G437" s="3" t="str">
        <f t="shared" si="27"/>
        <v>0x7414</v>
      </c>
      <c r="H437" s="3" t="s">
        <v>1483</v>
      </c>
      <c r="I437" s="3" t="str">
        <f t="shared" si="28"/>
        <v/>
      </c>
      <c r="J437" s="5" t="s">
        <v>1482</v>
      </c>
      <c r="K437" s="2" t="str">
        <f t="shared" si="29"/>
        <v/>
      </c>
    </row>
    <row r="438" spans="1:11" x14ac:dyDescent="0.25">
      <c r="A438" s="2" t="s">
        <v>872</v>
      </c>
      <c r="B438" s="2" t="s">
        <v>873</v>
      </c>
      <c r="D438" s="4" t="s">
        <v>1484</v>
      </c>
      <c r="E438" s="3" t="str">
        <f t="shared" si="26"/>
        <v xml:space="preserve">QK_JOYSTICK_BUTTON_21                        </v>
      </c>
      <c r="F438" s="3" t="s">
        <v>1472</v>
      </c>
      <c r="G438" s="3" t="str">
        <f t="shared" si="27"/>
        <v>0x7415</v>
      </c>
      <c r="H438" s="3" t="s">
        <v>1483</v>
      </c>
      <c r="I438" s="3" t="str">
        <f t="shared" si="28"/>
        <v/>
      </c>
      <c r="J438" s="5" t="s">
        <v>1482</v>
      </c>
      <c r="K438" s="2" t="str">
        <f t="shared" si="29"/>
        <v/>
      </c>
    </row>
    <row r="439" spans="1:11" x14ac:dyDescent="0.25">
      <c r="A439" s="2" t="s">
        <v>874</v>
      </c>
      <c r="B439" s="2" t="s">
        <v>875</v>
      </c>
      <c r="D439" s="4" t="s">
        <v>1484</v>
      </c>
      <c r="E439" s="3" t="str">
        <f t="shared" si="26"/>
        <v xml:space="preserve">QK_JOYSTICK_BUTTON_22                        </v>
      </c>
      <c r="F439" s="3" t="s">
        <v>1472</v>
      </c>
      <c r="G439" s="3" t="str">
        <f t="shared" si="27"/>
        <v>0x7416</v>
      </c>
      <c r="H439" s="3" t="s">
        <v>1483</v>
      </c>
      <c r="I439" s="3" t="str">
        <f t="shared" si="28"/>
        <v/>
      </c>
      <c r="J439" s="5" t="s">
        <v>1482</v>
      </c>
      <c r="K439" s="2" t="str">
        <f t="shared" si="29"/>
        <v/>
      </c>
    </row>
    <row r="440" spans="1:11" x14ac:dyDescent="0.25">
      <c r="A440" s="2" t="s">
        <v>876</v>
      </c>
      <c r="B440" s="2" t="s">
        <v>877</v>
      </c>
      <c r="D440" s="4" t="s">
        <v>1484</v>
      </c>
      <c r="E440" s="3" t="str">
        <f t="shared" si="26"/>
        <v xml:space="preserve">QK_JOYSTICK_BUTTON_23                        </v>
      </c>
      <c r="F440" s="3" t="s">
        <v>1472</v>
      </c>
      <c r="G440" s="3" t="str">
        <f t="shared" si="27"/>
        <v>0x7417</v>
      </c>
      <c r="H440" s="3" t="s">
        <v>1483</v>
      </c>
      <c r="I440" s="3" t="str">
        <f t="shared" si="28"/>
        <v/>
      </c>
      <c r="J440" s="5" t="s">
        <v>1482</v>
      </c>
      <c r="K440" s="2" t="str">
        <f t="shared" si="29"/>
        <v/>
      </c>
    </row>
    <row r="441" spans="1:11" x14ac:dyDescent="0.25">
      <c r="A441" s="2" t="s">
        <v>878</v>
      </c>
      <c r="B441" s="2" t="s">
        <v>879</v>
      </c>
      <c r="D441" s="4" t="s">
        <v>1484</v>
      </c>
      <c r="E441" s="3" t="str">
        <f t="shared" si="26"/>
        <v xml:space="preserve">QK_JOYSTICK_BUTTON_24                        </v>
      </c>
      <c r="F441" s="3" t="s">
        <v>1472</v>
      </c>
      <c r="G441" s="3" t="str">
        <f t="shared" si="27"/>
        <v>0x7418</v>
      </c>
      <c r="H441" s="3" t="s">
        <v>1483</v>
      </c>
      <c r="I441" s="3" t="str">
        <f t="shared" si="28"/>
        <v/>
      </c>
      <c r="J441" s="5" t="s">
        <v>1482</v>
      </c>
      <c r="K441" s="2" t="str">
        <f t="shared" si="29"/>
        <v/>
      </c>
    </row>
    <row r="442" spans="1:11" x14ac:dyDescent="0.25">
      <c r="A442" s="2" t="s">
        <v>880</v>
      </c>
      <c r="B442" s="2" t="s">
        <v>881</v>
      </c>
      <c r="D442" s="4" t="s">
        <v>1484</v>
      </c>
      <c r="E442" s="3" t="str">
        <f t="shared" si="26"/>
        <v xml:space="preserve">QK_JOYSTICK_BUTTON_25                        </v>
      </c>
      <c r="F442" s="3" t="s">
        <v>1472</v>
      </c>
      <c r="G442" s="3" t="str">
        <f t="shared" si="27"/>
        <v>0x7419</v>
      </c>
      <c r="H442" s="3" t="s">
        <v>1483</v>
      </c>
      <c r="I442" s="3" t="str">
        <f t="shared" si="28"/>
        <v/>
      </c>
      <c r="J442" s="5" t="s">
        <v>1482</v>
      </c>
      <c r="K442" s="2" t="str">
        <f t="shared" si="29"/>
        <v/>
      </c>
    </row>
    <row r="443" spans="1:11" x14ac:dyDescent="0.25">
      <c r="A443" s="2" t="s">
        <v>882</v>
      </c>
      <c r="B443" s="2" t="s">
        <v>883</v>
      </c>
      <c r="D443" s="4" t="s">
        <v>1484</v>
      </c>
      <c r="E443" s="3" t="str">
        <f t="shared" si="26"/>
        <v xml:space="preserve">QK_JOYSTICK_BUTTON_26                        </v>
      </c>
      <c r="F443" s="3" t="s">
        <v>1472</v>
      </c>
      <c r="G443" s="3" t="str">
        <f t="shared" si="27"/>
        <v>0x741A</v>
      </c>
      <c r="H443" s="3" t="s">
        <v>1483</v>
      </c>
      <c r="I443" s="3" t="str">
        <f t="shared" si="28"/>
        <v/>
      </c>
      <c r="J443" s="5" t="s">
        <v>1482</v>
      </c>
      <c r="K443" s="2" t="str">
        <f t="shared" si="29"/>
        <v/>
      </c>
    </row>
    <row r="444" spans="1:11" x14ac:dyDescent="0.25">
      <c r="A444" s="2" t="s">
        <v>884</v>
      </c>
      <c r="B444" s="2" t="s">
        <v>885</v>
      </c>
      <c r="D444" s="4" t="s">
        <v>1484</v>
      </c>
      <c r="E444" s="3" t="str">
        <f t="shared" si="26"/>
        <v xml:space="preserve">QK_JOYSTICK_BUTTON_27                        </v>
      </c>
      <c r="F444" s="3" t="s">
        <v>1472</v>
      </c>
      <c r="G444" s="3" t="str">
        <f t="shared" si="27"/>
        <v>0x741B</v>
      </c>
      <c r="H444" s="3" t="s">
        <v>1483</v>
      </c>
      <c r="I444" s="3" t="str">
        <f t="shared" si="28"/>
        <v/>
      </c>
      <c r="J444" s="5" t="s">
        <v>1482</v>
      </c>
      <c r="K444" s="2" t="str">
        <f t="shared" si="29"/>
        <v/>
      </c>
    </row>
    <row r="445" spans="1:11" x14ac:dyDescent="0.25">
      <c r="A445" s="2" t="s">
        <v>886</v>
      </c>
      <c r="B445" s="2" t="s">
        <v>887</v>
      </c>
      <c r="D445" s="4" t="s">
        <v>1484</v>
      </c>
      <c r="E445" s="3" t="str">
        <f t="shared" si="26"/>
        <v xml:space="preserve">QK_JOYSTICK_BUTTON_28                        </v>
      </c>
      <c r="F445" s="3" t="s">
        <v>1472</v>
      </c>
      <c r="G445" s="3" t="str">
        <f t="shared" si="27"/>
        <v>0x741C</v>
      </c>
      <c r="H445" s="3" t="s">
        <v>1483</v>
      </c>
      <c r="I445" s="3" t="str">
        <f t="shared" si="28"/>
        <v/>
      </c>
      <c r="J445" s="5" t="s">
        <v>1482</v>
      </c>
      <c r="K445" s="2" t="str">
        <f t="shared" si="29"/>
        <v/>
      </c>
    </row>
    <row r="446" spans="1:11" x14ac:dyDescent="0.25">
      <c r="A446" s="2" t="s">
        <v>888</v>
      </c>
      <c r="B446" s="2" t="s">
        <v>889</v>
      </c>
      <c r="D446" s="4" t="s">
        <v>1484</v>
      </c>
      <c r="E446" s="3" t="str">
        <f t="shared" si="26"/>
        <v xml:space="preserve">QK_JOYSTICK_BUTTON_29                        </v>
      </c>
      <c r="F446" s="3" t="s">
        <v>1472</v>
      </c>
      <c r="G446" s="3" t="str">
        <f t="shared" si="27"/>
        <v>0x741D</v>
      </c>
      <c r="H446" s="3" t="s">
        <v>1483</v>
      </c>
      <c r="I446" s="3" t="str">
        <f t="shared" si="28"/>
        <v/>
      </c>
      <c r="J446" s="5" t="s">
        <v>1482</v>
      </c>
      <c r="K446" s="2" t="str">
        <f t="shared" si="29"/>
        <v/>
      </c>
    </row>
    <row r="447" spans="1:11" x14ac:dyDescent="0.25">
      <c r="A447" s="2" t="s">
        <v>890</v>
      </c>
      <c r="B447" s="2" t="s">
        <v>891</v>
      </c>
      <c r="D447" s="4" t="s">
        <v>1484</v>
      </c>
      <c r="E447" s="3" t="str">
        <f t="shared" si="26"/>
        <v xml:space="preserve">QK_JOYSTICK_BUTTON_30                        </v>
      </c>
      <c r="F447" s="3" t="s">
        <v>1472</v>
      </c>
      <c r="G447" s="3" t="str">
        <f t="shared" si="27"/>
        <v>0x741E</v>
      </c>
      <c r="H447" s="3" t="s">
        <v>1483</v>
      </c>
      <c r="I447" s="3" t="str">
        <f t="shared" si="28"/>
        <v/>
      </c>
      <c r="J447" s="5" t="s">
        <v>1482</v>
      </c>
      <c r="K447" s="2" t="str">
        <f t="shared" si="29"/>
        <v/>
      </c>
    </row>
    <row r="448" spans="1:11" x14ac:dyDescent="0.25">
      <c r="A448" s="2" t="s">
        <v>892</v>
      </c>
      <c r="B448" s="2" t="s">
        <v>893</v>
      </c>
      <c r="D448" s="4" t="s">
        <v>1484</v>
      </c>
      <c r="E448" s="3" t="str">
        <f t="shared" si="26"/>
        <v xml:space="preserve">QK_JOYSTICK_BUTTON_31                        </v>
      </c>
      <c r="F448" s="3" t="s">
        <v>1472</v>
      </c>
      <c r="G448" s="3" t="str">
        <f t="shared" si="27"/>
        <v>0x741F</v>
      </c>
      <c r="H448" s="3" t="s">
        <v>1483</v>
      </c>
      <c r="I448" s="3" t="str">
        <f t="shared" si="28"/>
        <v/>
      </c>
      <c r="J448" s="5" t="s">
        <v>1482</v>
      </c>
      <c r="K448" s="2" t="str">
        <f t="shared" si="29"/>
        <v/>
      </c>
    </row>
    <row r="449" spans="1:11" x14ac:dyDescent="0.25">
      <c r="A449" s="2" t="s">
        <v>894</v>
      </c>
      <c r="B449" s="2" t="s">
        <v>895</v>
      </c>
      <c r="D449" s="4" t="s">
        <v>1484</v>
      </c>
      <c r="E449" s="3" t="str">
        <f t="shared" si="26"/>
        <v xml:space="preserve">QK_PROGRAMMABLE_BUTTON_1                     </v>
      </c>
      <c r="F449" s="3" t="s">
        <v>1472</v>
      </c>
      <c r="G449" s="3" t="str">
        <f t="shared" si="27"/>
        <v>0x7440</v>
      </c>
      <c r="H449" s="3" t="s">
        <v>1483</v>
      </c>
      <c r="I449" s="3" t="str">
        <f t="shared" si="28"/>
        <v/>
      </c>
      <c r="J449" s="5" t="s">
        <v>1482</v>
      </c>
      <c r="K449" s="2" t="str">
        <f t="shared" si="29"/>
        <v/>
      </c>
    </row>
    <row r="450" spans="1:11" x14ac:dyDescent="0.25">
      <c r="A450" s="2" t="s">
        <v>896</v>
      </c>
      <c r="B450" s="2" t="s">
        <v>897</v>
      </c>
      <c r="D450" s="4" t="s">
        <v>1484</v>
      </c>
      <c r="E450" s="3" t="str">
        <f t="shared" si="26"/>
        <v xml:space="preserve">QK_PROGRAMMABLE_BUTTON_2                     </v>
      </c>
      <c r="F450" s="3" t="s">
        <v>1472</v>
      </c>
      <c r="G450" s="3" t="str">
        <f t="shared" si="27"/>
        <v>0x7441</v>
      </c>
      <c r="H450" s="3" t="s">
        <v>1483</v>
      </c>
      <c r="I450" s="3" t="str">
        <f t="shared" si="28"/>
        <v/>
      </c>
      <c r="J450" s="5" t="s">
        <v>1482</v>
      </c>
      <c r="K450" s="2" t="str">
        <f t="shared" si="29"/>
        <v/>
      </c>
    </row>
    <row r="451" spans="1:11" x14ac:dyDescent="0.25">
      <c r="A451" s="2" t="s">
        <v>898</v>
      </c>
      <c r="B451" s="2" t="s">
        <v>899</v>
      </c>
      <c r="D451" s="4" t="s">
        <v>1484</v>
      </c>
      <c r="E451" s="3" t="str">
        <f t="shared" ref="E451:E514" si="30">LEFT(A451 &amp; REPT(" ",$E$1),$E$1)</f>
        <v xml:space="preserve">QK_PROGRAMMABLE_BUTTON_3                     </v>
      </c>
      <c r="F451" s="3" t="s">
        <v>1472</v>
      </c>
      <c r="G451" s="3" t="str">
        <f t="shared" ref="G451:G514" si="31">B451</f>
        <v>0x7442</v>
      </c>
      <c r="H451" s="3" t="s">
        <v>1483</v>
      </c>
      <c r="I451" s="3" t="str">
        <f t="shared" ref="I451:I514" si="32">IF(C451="","",C451)</f>
        <v/>
      </c>
      <c r="J451" s="5" t="s">
        <v>1482</v>
      </c>
      <c r="K451" s="2" t="str">
        <f t="shared" ref="K451:K514" si="33">IF(I451="","",_xlfn.CONCAT(D451:J451))</f>
        <v/>
      </c>
    </row>
    <row r="452" spans="1:11" x14ac:dyDescent="0.25">
      <c r="A452" s="2" t="s">
        <v>900</v>
      </c>
      <c r="B452" s="2" t="s">
        <v>901</v>
      </c>
      <c r="D452" s="4" t="s">
        <v>1484</v>
      </c>
      <c r="E452" s="3" t="str">
        <f t="shared" si="30"/>
        <v xml:space="preserve">QK_PROGRAMMABLE_BUTTON_4                     </v>
      </c>
      <c r="F452" s="3" t="s">
        <v>1472</v>
      </c>
      <c r="G452" s="3" t="str">
        <f t="shared" si="31"/>
        <v>0x7443</v>
      </c>
      <c r="H452" s="3" t="s">
        <v>1483</v>
      </c>
      <c r="I452" s="3" t="str">
        <f t="shared" si="32"/>
        <v/>
      </c>
      <c r="J452" s="5" t="s">
        <v>1482</v>
      </c>
      <c r="K452" s="2" t="str">
        <f t="shared" si="33"/>
        <v/>
      </c>
    </row>
    <row r="453" spans="1:11" x14ac:dyDescent="0.25">
      <c r="A453" s="2" t="s">
        <v>902</v>
      </c>
      <c r="B453" s="2" t="s">
        <v>903</v>
      </c>
      <c r="D453" s="4" t="s">
        <v>1484</v>
      </c>
      <c r="E453" s="3" t="str">
        <f t="shared" si="30"/>
        <v xml:space="preserve">QK_PROGRAMMABLE_BUTTON_5                     </v>
      </c>
      <c r="F453" s="3" t="s">
        <v>1472</v>
      </c>
      <c r="G453" s="3" t="str">
        <f t="shared" si="31"/>
        <v>0x7444</v>
      </c>
      <c r="H453" s="3" t="s">
        <v>1483</v>
      </c>
      <c r="I453" s="3" t="str">
        <f t="shared" si="32"/>
        <v/>
      </c>
      <c r="J453" s="5" t="s">
        <v>1482</v>
      </c>
      <c r="K453" s="2" t="str">
        <f t="shared" si="33"/>
        <v/>
      </c>
    </row>
    <row r="454" spans="1:11" x14ac:dyDescent="0.25">
      <c r="A454" s="2" t="s">
        <v>904</v>
      </c>
      <c r="B454" s="2" t="s">
        <v>905</v>
      </c>
      <c r="D454" s="4" t="s">
        <v>1484</v>
      </c>
      <c r="E454" s="3" t="str">
        <f t="shared" si="30"/>
        <v xml:space="preserve">QK_PROGRAMMABLE_BUTTON_6                     </v>
      </c>
      <c r="F454" s="3" t="s">
        <v>1472</v>
      </c>
      <c r="G454" s="3" t="str">
        <f t="shared" si="31"/>
        <v>0x7445</v>
      </c>
      <c r="H454" s="3" t="s">
        <v>1483</v>
      </c>
      <c r="I454" s="3" t="str">
        <f t="shared" si="32"/>
        <v/>
      </c>
      <c r="J454" s="5" t="s">
        <v>1482</v>
      </c>
      <c r="K454" s="2" t="str">
        <f t="shared" si="33"/>
        <v/>
      </c>
    </row>
    <row r="455" spans="1:11" x14ac:dyDescent="0.25">
      <c r="A455" s="2" t="s">
        <v>906</v>
      </c>
      <c r="B455" s="2" t="s">
        <v>907</v>
      </c>
      <c r="D455" s="4" t="s">
        <v>1484</v>
      </c>
      <c r="E455" s="3" t="str">
        <f t="shared" si="30"/>
        <v xml:space="preserve">QK_PROGRAMMABLE_BUTTON_7                     </v>
      </c>
      <c r="F455" s="3" t="s">
        <v>1472</v>
      </c>
      <c r="G455" s="3" t="str">
        <f t="shared" si="31"/>
        <v>0x7446</v>
      </c>
      <c r="H455" s="3" t="s">
        <v>1483</v>
      </c>
      <c r="I455" s="3" t="str">
        <f t="shared" si="32"/>
        <v/>
      </c>
      <c r="J455" s="5" t="s">
        <v>1482</v>
      </c>
      <c r="K455" s="2" t="str">
        <f t="shared" si="33"/>
        <v/>
      </c>
    </row>
    <row r="456" spans="1:11" x14ac:dyDescent="0.25">
      <c r="A456" s="2" t="s">
        <v>908</v>
      </c>
      <c r="B456" s="2" t="s">
        <v>909</v>
      </c>
      <c r="D456" s="4" t="s">
        <v>1484</v>
      </c>
      <c r="E456" s="3" t="str">
        <f t="shared" si="30"/>
        <v xml:space="preserve">QK_PROGRAMMABLE_BUTTON_8                     </v>
      </c>
      <c r="F456" s="3" t="s">
        <v>1472</v>
      </c>
      <c r="G456" s="3" t="str">
        <f t="shared" si="31"/>
        <v>0x7447</v>
      </c>
      <c r="H456" s="3" t="s">
        <v>1483</v>
      </c>
      <c r="I456" s="3" t="str">
        <f t="shared" si="32"/>
        <v/>
      </c>
      <c r="J456" s="5" t="s">
        <v>1482</v>
      </c>
      <c r="K456" s="2" t="str">
        <f t="shared" si="33"/>
        <v/>
      </c>
    </row>
    <row r="457" spans="1:11" x14ac:dyDescent="0.25">
      <c r="A457" s="2" t="s">
        <v>910</v>
      </c>
      <c r="B457" s="2" t="s">
        <v>911</v>
      </c>
      <c r="D457" s="4" t="s">
        <v>1484</v>
      </c>
      <c r="E457" s="3" t="str">
        <f t="shared" si="30"/>
        <v xml:space="preserve">QK_PROGRAMMABLE_BUTTON_9                     </v>
      </c>
      <c r="F457" s="3" t="s">
        <v>1472</v>
      </c>
      <c r="G457" s="3" t="str">
        <f t="shared" si="31"/>
        <v>0x7448</v>
      </c>
      <c r="H457" s="3" t="s">
        <v>1483</v>
      </c>
      <c r="I457" s="3" t="str">
        <f t="shared" si="32"/>
        <v/>
      </c>
      <c r="J457" s="5" t="s">
        <v>1482</v>
      </c>
      <c r="K457" s="2" t="str">
        <f t="shared" si="33"/>
        <v/>
      </c>
    </row>
    <row r="458" spans="1:11" x14ac:dyDescent="0.25">
      <c r="A458" s="2" t="s">
        <v>912</v>
      </c>
      <c r="B458" s="2" t="s">
        <v>913</v>
      </c>
      <c r="D458" s="4" t="s">
        <v>1484</v>
      </c>
      <c r="E458" s="3" t="str">
        <f t="shared" si="30"/>
        <v xml:space="preserve">QK_PROGRAMMABLE_BUTTON_10                    </v>
      </c>
      <c r="F458" s="3" t="s">
        <v>1472</v>
      </c>
      <c r="G458" s="3" t="str">
        <f t="shared" si="31"/>
        <v>0x7449</v>
      </c>
      <c r="H458" s="3" t="s">
        <v>1483</v>
      </c>
      <c r="I458" s="3" t="str">
        <f t="shared" si="32"/>
        <v/>
      </c>
      <c r="J458" s="5" t="s">
        <v>1482</v>
      </c>
      <c r="K458" s="2" t="str">
        <f t="shared" si="33"/>
        <v/>
      </c>
    </row>
    <row r="459" spans="1:11" x14ac:dyDescent="0.25">
      <c r="A459" s="2" t="s">
        <v>914</v>
      </c>
      <c r="B459" s="2" t="s">
        <v>915</v>
      </c>
      <c r="D459" s="4" t="s">
        <v>1484</v>
      </c>
      <c r="E459" s="3" t="str">
        <f t="shared" si="30"/>
        <v xml:space="preserve">QK_PROGRAMMABLE_BUTTON_11                    </v>
      </c>
      <c r="F459" s="3" t="s">
        <v>1472</v>
      </c>
      <c r="G459" s="3" t="str">
        <f t="shared" si="31"/>
        <v>0x744A</v>
      </c>
      <c r="H459" s="3" t="s">
        <v>1483</v>
      </c>
      <c r="I459" s="3" t="str">
        <f t="shared" si="32"/>
        <v/>
      </c>
      <c r="J459" s="5" t="s">
        <v>1482</v>
      </c>
      <c r="K459" s="2" t="str">
        <f t="shared" si="33"/>
        <v/>
      </c>
    </row>
    <row r="460" spans="1:11" x14ac:dyDescent="0.25">
      <c r="A460" s="2" t="s">
        <v>916</v>
      </c>
      <c r="B460" s="2" t="s">
        <v>917</v>
      </c>
      <c r="D460" s="4" t="s">
        <v>1484</v>
      </c>
      <c r="E460" s="3" t="str">
        <f t="shared" si="30"/>
        <v xml:space="preserve">QK_PROGRAMMABLE_BUTTON_12                    </v>
      </c>
      <c r="F460" s="3" t="s">
        <v>1472</v>
      </c>
      <c r="G460" s="3" t="str">
        <f t="shared" si="31"/>
        <v>0x744B</v>
      </c>
      <c r="H460" s="3" t="s">
        <v>1483</v>
      </c>
      <c r="I460" s="3" t="str">
        <f t="shared" si="32"/>
        <v/>
      </c>
      <c r="J460" s="5" t="s">
        <v>1482</v>
      </c>
      <c r="K460" s="2" t="str">
        <f t="shared" si="33"/>
        <v/>
      </c>
    </row>
    <row r="461" spans="1:11" x14ac:dyDescent="0.25">
      <c r="A461" s="2" t="s">
        <v>918</v>
      </c>
      <c r="B461" s="2" t="s">
        <v>919</v>
      </c>
      <c r="D461" s="4" t="s">
        <v>1484</v>
      </c>
      <c r="E461" s="3" t="str">
        <f t="shared" si="30"/>
        <v xml:space="preserve">QK_PROGRAMMABLE_BUTTON_13                    </v>
      </c>
      <c r="F461" s="3" t="s">
        <v>1472</v>
      </c>
      <c r="G461" s="3" t="str">
        <f t="shared" si="31"/>
        <v>0x744C</v>
      </c>
      <c r="H461" s="3" t="s">
        <v>1483</v>
      </c>
      <c r="I461" s="3" t="str">
        <f t="shared" si="32"/>
        <v/>
      </c>
      <c r="J461" s="5" t="s">
        <v>1482</v>
      </c>
      <c r="K461" s="2" t="str">
        <f t="shared" si="33"/>
        <v/>
      </c>
    </row>
    <row r="462" spans="1:11" x14ac:dyDescent="0.25">
      <c r="A462" s="2" t="s">
        <v>920</v>
      </c>
      <c r="B462" s="2" t="s">
        <v>921</v>
      </c>
      <c r="D462" s="4" t="s">
        <v>1484</v>
      </c>
      <c r="E462" s="3" t="str">
        <f t="shared" si="30"/>
        <v xml:space="preserve">QK_PROGRAMMABLE_BUTTON_14                    </v>
      </c>
      <c r="F462" s="3" t="s">
        <v>1472</v>
      </c>
      <c r="G462" s="3" t="str">
        <f t="shared" si="31"/>
        <v>0x744D</v>
      </c>
      <c r="H462" s="3" t="s">
        <v>1483</v>
      </c>
      <c r="I462" s="3" t="str">
        <f t="shared" si="32"/>
        <v/>
      </c>
      <c r="J462" s="5" t="s">
        <v>1482</v>
      </c>
      <c r="K462" s="2" t="str">
        <f t="shared" si="33"/>
        <v/>
      </c>
    </row>
    <row r="463" spans="1:11" x14ac:dyDescent="0.25">
      <c r="A463" s="2" t="s">
        <v>922</v>
      </c>
      <c r="B463" s="2" t="s">
        <v>923</v>
      </c>
      <c r="D463" s="4" t="s">
        <v>1484</v>
      </c>
      <c r="E463" s="3" t="str">
        <f t="shared" si="30"/>
        <v xml:space="preserve">QK_PROGRAMMABLE_BUTTON_15                    </v>
      </c>
      <c r="F463" s="3" t="s">
        <v>1472</v>
      </c>
      <c r="G463" s="3" t="str">
        <f t="shared" si="31"/>
        <v>0x744E</v>
      </c>
      <c r="H463" s="3" t="s">
        <v>1483</v>
      </c>
      <c r="I463" s="3" t="str">
        <f t="shared" si="32"/>
        <v/>
      </c>
      <c r="J463" s="5" t="s">
        <v>1482</v>
      </c>
      <c r="K463" s="2" t="str">
        <f t="shared" si="33"/>
        <v/>
      </c>
    </row>
    <row r="464" spans="1:11" x14ac:dyDescent="0.25">
      <c r="A464" s="2" t="s">
        <v>924</v>
      </c>
      <c r="B464" s="2" t="s">
        <v>925</v>
      </c>
      <c r="D464" s="4" t="s">
        <v>1484</v>
      </c>
      <c r="E464" s="3" t="str">
        <f t="shared" si="30"/>
        <v xml:space="preserve">QK_PROGRAMMABLE_BUTTON_16                    </v>
      </c>
      <c r="F464" s="3" t="s">
        <v>1472</v>
      </c>
      <c r="G464" s="3" t="str">
        <f t="shared" si="31"/>
        <v>0x744F</v>
      </c>
      <c r="H464" s="3" t="s">
        <v>1483</v>
      </c>
      <c r="I464" s="3" t="str">
        <f t="shared" si="32"/>
        <v/>
      </c>
      <c r="J464" s="5" t="s">
        <v>1482</v>
      </c>
      <c r="K464" s="2" t="str">
        <f t="shared" si="33"/>
        <v/>
      </c>
    </row>
    <row r="465" spans="1:11" x14ac:dyDescent="0.25">
      <c r="A465" s="2" t="s">
        <v>926</v>
      </c>
      <c r="B465" s="2" t="s">
        <v>927</v>
      </c>
      <c r="D465" s="4" t="s">
        <v>1484</v>
      </c>
      <c r="E465" s="3" t="str">
        <f t="shared" si="30"/>
        <v xml:space="preserve">QK_PROGRAMMABLE_BUTTON_17                    </v>
      </c>
      <c r="F465" s="3" t="s">
        <v>1472</v>
      </c>
      <c r="G465" s="3" t="str">
        <f t="shared" si="31"/>
        <v>0x7450</v>
      </c>
      <c r="H465" s="3" t="s">
        <v>1483</v>
      </c>
      <c r="I465" s="3" t="str">
        <f t="shared" si="32"/>
        <v/>
      </c>
      <c r="J465" s="5" t="s">
        <v>1482</v>
      </c>
      <c r="K465" s="2" t="str">
        <f t="shared" si="33"/>
        <v/>
      </c>
    </row>
    <row r="466" spans="1:11" x14ac:dyDescent="0.25">
      <c r="A466" s="2" t="s">
        <v>928</v>
      </c>
      <c r="B466" s="2" t="s">
        <v>929</v>
      </c>
      <c r="D466" s="4" t="s">
        <v>1484</v>
      </c>
      <c r="E466" s="3" t="str">
        <f t="shared" si="30"/>
        <v xml:space="preserve">QK_PROGRAMMABLE_BUTTON_18                    </v>
      </c>
      <c r="F466" s="3" t="s">
        <v>1472</v>
      </c>
      <c r="G466" s="3" t="str">
        <f t="shared" si="31"/>
        <v>0x7451</v>
      </c>
      <c r="H466" s="3" t="s">
        <v>1483</v>
      </c>
      <c r="I466" s="3" t="str">
        <f t="shared" si="32"/>
        <v/>
      </c>
      <c r="J466" s="5" t="s">
        <v>1482</v>
      </c>
      <c r="K466" s="2" t="str">
        <f t="shared" si="33"/>
        <v/>
      </c>
    </row>
    <row r="467" spans="1:11" x14ac:dyDescent="0.25">
      <c r="A467" s="2" t="s">
        <v>930</v>
      </c>
      <c r="B467" s="2" t="s">
        <v>931</v>
      </c>
      <c r="D467" s="4" t="s">
        <v>1484</v>
      </c>
      <c r="E467" s="3" t="str">
        <f t="shared" si="30"/>
        <v xml:space="preserve">QK_PROGRAMMABLE_BUTTON_19                    </v>
      </c>
      <c r="F467" s="3" t="s">
        <v>1472</v>
      </c>
      <c r="G467" s="3" t="str">
        <f t="shared" si="31"/>
        <v>0x7452</v>
      </c>
      <c r="H467" s="3" t="s">
        <v>1483</v>
      </c>
      <c r="I467" s="3" t="str">
        <f t="shared" si="32"/>
        <v/>
      </c>
      <c r="J467" s="5" t="s">
        <v>1482</v>
      </c>
      <c r="K467" s="2" t="str">
        <f t="shared" si="33"/>
        <v/>
      </c>
    </row>
    <row r="468" spans="1:11" x14ac:dyDescent="0.25">
      <c r="A468" s="2" t="s">
        <v>932</v>
      </c>
      <c r="B468" s="2" t="s">
        <v>933</v>
      </c>
      <c r="D468" s="4" t="s">
        <v>1484</v>
      </c>
      <c r="E468" s="3" t="str">
        <f t="shared" si="30"/>
        <v xml:space="preserve">QK_PROGRAMMABLE_BUTTON_20                    </v>
      </c>
      <c r="F468" s="3" t="s">
        <v>1472</v>
      </c>
      <c r="G468" s="3" t="str">
        <f t="shared" si="31"/>
        <v>0x7453</v>
      </c>
      <c r="H468" s="3" t="s">
        <v>1483</v>
      </c>
      <c r="I468" s="3" t="str">
        <f t="shared" si="32"/>
        <v/>
      </c>
      <c r="J468" s="5" t="s">
        <v>1482</v>
      </c>
      <c r="K468" s="2" t="str">
        <f t="shared" si="33"/>
        <v/>
      </c>
    </row>
    <row r="469" spans="1:11" x14ac:dyDescent="0.25">
      <c r="A469" s="2" t="s">
        <v>934</v>
      </c>
      <c r="B469" s="2" t="s">
        <v>935</v>
      </c>
      <c r="D469" s="4" t="s">
        <v>1484</v>
      </c>
      <c r="E469" s="3" t="str">
        <f t="shared" si="30"/>
        <v xml:space="preserve">QK_PROGRAMMABLE_BUTTON_21                    </v>
      </c>
      <c r="F469" s="3" t="s">
        <v>1472</v>
      </c>
      <c r="G469" s="3" t="str">
        <f t="shared" si="31"/>
        <v>0x7454</v>
      </c>
      <c r="H469" s="3" t="s">
        <v>1483</v>
      </c>
      <c r="I469" s="3" t="str">
        <f t="shared" si="32"/>
        <v/>
      </c>
      <c r="J469" s="5" t="s">
        <v>1482</v>
      </c>
      <c r="K469" s="2" t="str">
        <f t="shared" si="33"/>
        <v/>
      </c>
    </row>
    <row r="470" spans="1:11" x14ac:dyDescent="0.25">
      <c r="A470" s="2" t="s">
        <v>936</v>
      </c>
      <c r="B470" s="2" t="s">
        <v>937</v>
      </c>
      <c r="D470" s="4" t="s">
        <v>1484</v>
      </c>
      <c r="E470" s="3" t="str">
        <f t="shared" si="30"/>
        <v xml:space="preserve">QK_PROGRAMMABLE_BUTTON_22                    </v>
      </c>
      <c r="F470" s="3" t="s">
        <v>1472</v>
      </c>
      <c r="G470" s="3" t="str">
        <f t="shared" si="31"/>
        <v>0x7455</v>
      </c>
      <c r="H470" s="3" t="s">
        <v>1483</v>
      </c>
      <c r="I470" s="3" t="str">
        <f t="shared" si="32"/>
        <v/>
      </c>
      <c r="J470" s="5" t="s">
        <v>1482</v>
      </c>
      <c r="K470" s="2" t="str">
        <f t="shared" si="33"/>
        <v/>
      </c>
    </row>
    <row r="471" spans="1:11" x14ac:dyDescent="0.25">
      <c r="A471" s="2" t="s">
        <v>938</v>
      </c>
      <c r="B471" s="2" t="s">
        <v>939</v>
      </c>
      <c r="D471" s="4" t="s">
        <v>1484</v>
      </c>
      <c r="E471" s="3" t="str">
        <f t="shared" si="30"/>
        <v xml:space="preserve">QK_PROGRAMMABLE_BUTTON_23                    </v>
      </c>
      <c r="F471" s="3" t="s">
        <v>1472</v>
      </c>
      <c r="G471" s="3" t="str">
        <f t="shared" si="31"/>
        <v>0x7456</v>
      </c>
      <c r="H471" s="3" t="s">
        <v>1483</v>
      </c>
      <c r="I471" s="3" t="str">
        <f t="shared" si="32"/>
        <v/>
      </c>
      <c r="J471" s="5" t="s">
        <v>1482</v>
      </c>
      <c r="K471" s="2" t="str">
        <f t="shared" si="33"/>
        <v/>
      </c>
    </row>
    <row r="472" spans="1:11" x14ac:dyDescent="0.25">
      <c r="A472" s="2" t="s">
        <v>940</v>
      </c>
      <c r="B472" s="2" t="s">
        <v>941</v>
      </c>
      <c r="D472" s="4" t="s">
        <v>1484</v>
      </c>
      <c r="E472" s="3" t="str">
        <f t="shared" si="30"/>
        <v xml:space="preserve">QK_PROGRAMMABLE_BUTTON_24                    </v>
      </c>
      <c r="F472" s="3" t="s">
        <v>1472</v>
      </c>
      <c r="G472" s="3" t="str">
        <f t="shared" si="31"/>
        <v>0x7457</v>
      </c>
      <c r="H472" s="3" t="s">
        <v>1483</v>
      </c>
      <c r="I472" s="3" t="str">
        <f t="shared" si="32"/>
        <v/>
      </c>
      <c r="J472" s="5" t="s">
        <v>1482</v>
      </c>
      <c r="K472" s="2" t="str">
        <f t="shared" si="33"/>
        <v/>
      </c>
    </row>
    <row r="473" spans="1:11" x14ac:dyDescent="0.25">
      <c r="A473" s="2" t="s">
        <v>942</v>
      </c>
      <c r="B473" s="2" t="s">
        <v>943</v>
      </c>
      <c r="D473" s="4" t="s">
        <v>1484</v>
      </c>
      <c r="E473" s="3" t="str">
        <f t="shared" si="30"/>
        <v xml:space="preserve">QK_PROGRAMMABLE_BUTTON_25                    </v>
      </c>
      <c r="F473" s="3" t="s">
        <v>1472</v>
      </c>
      <c r="G473" s="3" t="str">
        <f t="shared" si="31"/>
        <v>0x7458</v>
      </c>
      <c r="H473" s="3" t="s">
        <v>1483</v>
      </c>
      <c r="I473" s="3" t="str">
        <f t="shared" si="32"/>
        <v/>
      </c>
      <c r="J473" s="5" t="s">
        <v>1482</v>
      </c>
      <c r="K473" s="2" t="str">
        <f t="shared" si="33"/>
        <v/>
      </c>
    </row>
    <row r="474" spans="1:11" x14ac:dyDescent="0.25">
      <c r="A474" s="2" t="s">
        <v>944</v>
      </c>
      <c r="B474" s="2" t="s">
        <v>945</v>
      </c>
      <c r="D474" s="4" t="s">
        <v>1484</v>
      </c>
      <c r="E474" s="3" t="str">
        <f t="shared" si="30"/>
        <v xml:space="preserve">QK_PROGRAMMABLE_BUTTON_26                    </v>
      </c>
      <c r="F474" s="3" t="s">
        <v>1472</v>
      </c>
      <c r="G474" s="3" t="str">
        <f t="shared" si="31"/>
        <v>0x7459</v>
      </c>
      <c r="H474" s="3" t="s">
        <v>1483</v>
      </c>
      <c r="I474" s="3" t="str">
        <f t="shared" si="32"/>
        <v/>
      </c>
      <c r="J474" s="5" t="s">
        <v>1482</v>
      </c>
      <c r="K474" s="2" t="str">
        <f t="shared" si="33"/>
        <v/>
      </c>
    </row>
    <row r="475" spans="1:11" x14ac:dyDescent="0.25">
      <c r="A475" s="2" t="s">
        <v>946</v>
      </c>
      <c r="B475" s="2" t="s">
        <v>947</v>
      </c>
      <c r="D475" s="4" t="s">
        <v>1484</v>
      </c>
      <c r="E475" s="3" t="str">
        <f t="shared" si="30"/>
        <v xml:space="preserve">QK_PROGRAMMABLE_BUTTON_27                    </v>
      </c>
      <c r="F475" s="3" t="s">
        <v>1472</v>
      </c>
      <c r="G475" s="3" t="str">
        <f t="shared" si="31"/>
        <v>0x745A</v>
      </c>
      <c r="H475" s="3" t="s">
        <v>1483</v>
      </c>
      <c r="I475" s="3" t="str">
        <f t="shared" si="32"/>
        <v/>
      </c>
      <c r="J475" s="5" t="s">
        <v>1482</v>
      </c>
      <c r="K475" s="2" t="str">
        <f t="shared" si="33"/>
        <v/>
      </c>
    </row>
    <row r="476" spans="1:11" x14ac:dyDescent="0.25">
      <c r="A476" s="2" t="s">
        <v>948</v>
      </c>
      <c r="B476" s="2" t="s">
        <v>949</v>
      </c>
      <c r="D476" s="4" t="s">
        <v>1484</v>
      </c>
      <c r="E476" s="3" t="str">
        <f t="shared" si="30"/>
        <v xml:space="preserve">QK_PROGRAMMABLE_BUTTON_28                    </v>
      </c>
      <c r="F476" s="3" t="s">
        <v>1472</v>
      </c>
      <c r="G476" s="3" t="str">
        <f t="shared" si="31"/>
        <v>0x745B</v>
      </c>
      <c r="H476" s="3" t="s">
        <v>1483</v>
      </c>
      <c r="I476" s="3" t="str">
        <f t="shared" si="32"/>
        <v/>
      </c>
      <c r="J476" s="5" t="s">
        <v>1482</v>
      </c>
      <c r="K476" s="2" t="str">
        <f t="shared" si="33"/>
        <v/>
      </c>
    </row>
    <row r="477" spans="1:11" x14ac:dyDescent="0.25">
      <c r="A477" s="2" t="s">
        <v>950</v>
      </c>
      <c r="B477" s="2" t="s">
        <v>951</v>
      </c>
      <c r="D477" s="4" t="s">
        <v>1484</v>
      </c>
      <c r="E477" s="3" t="str">
        <f t="shared" si="30"/>
        <v xml:space="preserve">QK_PROGRAMMABLE_BUTTON_29                    </v>
      </c>
      <c r="F477" s="3" t="s">
        <v>1472</v>
      </c>
      <c r="G477" s="3" t="str">
        <f t="shared" si="31"/>
        <v>0x745C</v>
      </c>
      <c r="H477" s="3" t="s">
        <v>1483</v>
      </c>
      <c r="I477" s="3" t="str">
        <f t="shared" si="32"/>
        <v/>
      </c>
      <c r="J477" s="5" t="s">
        <v>1482</v>
      </c>
      <c r="K477" s="2" t="str">
        <f t="shared" si="33"/>
        <v/>
      </c>
    </row>
    <row r="478" spans="1:11" x14ac:dyDescent="0.25">
      <c r="A478" s="2" t="s">
        <v>952</v>
      </c>
      <c r="B478" s="2" t="s">
        <v>953</v>
      </c>
      <c r="D478" s="4" t="s">
        <v>1484</v>
      </c>
      <c r="E478" s="3" t="str">
        <f t="shared" si="30"/>
        <v xml:space="preserve">QK_PROGRAMMABLE_BUTTON_30                    </v>
      </c>
      <c r="F478" s="3" t="s">
        <v>1472</v>
      </c>
      <c r="G478" s="3" t="str">
        <f t="shared" si="31"/>
        <v>0x745D</v>
      </c>
      <c r="H478" s="3" t="s">
        <v>1483</v>
      </c>
      <c r="I478" s="3" t="str">
        <f t="shared" si="32"/>
        <v/>
      </c>
      <c r="J478" s="5" t="s">
        <v>1482</v>
      </c>
      <c r="K478" s="2" t="str">
        <f t="shared" si="33"/>
        <v/>
      </c>
    </row>
    <row r="479" spans="1:11" x14ac:dyDescent="0.25">
      <c r="A479" s="2" t="s">
        <v>954</v>
      </c>
      <c r="B479" s="2" t="s">
        <v>955</v>
      </c>
      <c r="D479" s="4" t="s">
        <v>1484</v>
      </c>
      <c r="E479" s="3" t="str">
        <f t="shared" si="30"/>
        <v xml:space="preserve">QK_PROGRAMMABLE_BUTTON_31                    </v>
      </c>
      <c r="F479" s="3" t="s">
        <v>1472</v>
      </c>
      <c r="G479" s="3" t="str">
        <f t="shared" si="31"/>
        <v>0x745E</v>
      </c>
      <c r="H479" s="3" t="s">
        <v>1483</v>
      </c>
      <c r="I479" s="3" t="str">
        <f t="shared" si="32"/>
        <v/>
      </c>
      <c r="J479" s="5" t="s">
        <v>1482</v>
      </c>
      <c r="K479" s="2" t="str">
        <f t="shared" si="33"/>
        <v/>
      </c>
    </row>
    <row r="480" spans="1:11" x14ac:dyDescent="0.25">
      <c r="A480" s="2" t="s">
        <v>956</v>
      </c>
      <c r="B480" s="2" t="s">
        <v>957</v>
      </c>
      <c r="D480" s="4" t="s">
        <v>1484</v>
      </c>
      <c r="E480" s="3" t="str">
        <f t="shared" si="30"/>
        <v xml:space="preserve">QK_PROGRAMMABLE_BUTTON_32                    </v>
      </c>
      <c r="F480" s="3" t="s">
        <v>1472</v>
      </c>
      <c r="G480" s="3" t="str">
        <f t="shared" si="31"/>
        <v>0x745F</v>
      </c>
      <c r="H480" s="3" t="s">
        <v>1483</v>
      </c>
      <c r="I480" s="3" t="str">
        <f t="shared" si="32"/>
        <v/>
      </c>
      <c r="J480" s="5" t="s">
        <v>1482</v>
      </c>
      <c r="K480" s="2" t="str">
        <f t="shared" si="33"/>
        <v/>
      </c>
    </row>
    <row r="481" spans="1:11" x14ac:dyDescent="0.25">
      <c r="A481" s="2" t="s">
        <v>958</v>
      </c>
      <c r="B481" s="2" t="s">
        <v>959</v>
      </c>
      <c r="D481" s="4" t="s">
        <v>1484</v>
      </c>
      <c r="E481" s="3" t="str">
        <f t="shared" si="30"/>
        <v xml:space="preserve">QK_AUDIO_ON                                  </v>
      </c>
      <c r="F481" s="3" t="s">
        <v>1472</v>
      </c>
      <c r="G481" s="3" t="str">
        <f t="shared" si="31"/>
        <v>0x7480</v>
      </c>
      <c r="H481" s="3" t="s">
        <v>1483</v>
      </c>
      <c r="I481" s="3" t="str">
        <f t="shared" si="32"/>
        <v/>
      </c>
      <c r="J481" s="5" t="s">
        <v>1482</v>
      </c>
      <c r="K481" s="2" t="str">
        <f t="shared" si="33"/>
        <v/>
      </c>
    </row>
    <row r="482" spans="1:11" x14ac:dyDescent="0.25">
      <c r="A482" s="2" t="s">
        <v>960</v>
      </c>
      <c r="B482" s="2" t="s">
        <v>961</v>
      </c>
      <c r="D482" s="4" t="s">
        <v>1484</v>
      </c>
      <c r="E482" s="3" t="str">
        <f t="shared" si="30"/>
        <v xml:space="preserve">QK_AUDIO_OFF                                 </v>
      </c>
      <c r="F482" s="3" t="s">
        <v>1472</v>
      </c>
      <c r="G482" s="3" t="str">
        <f t="shared" si="31"/>
        <v>0x7481</v>
      </c>
      <c r="H482" s="3" t="s">
        <v>1483</v>
      </c>
      <c r="I482" s="3" t="str">
        <f t="shared" si="32"/>
        <v/>
      </c>
      <c r="J482" s="5" t="s">
        <v>1482</v>
      </c>
      <c r="K482" s="2" t="str">
        <f t="shared" si="33"/>
        <v/>
      </c>
    </row>
    <row r="483" spans="1:11" x14ac:dyDescent="0.25">
      <c r="A483" s="2" t="s">
        <v>962</v>
      </c>
      <c r="B483" s="2" t="s">
        <v>963</v>
      </c>
      <c r="D483" s="4" t="s">
        <v>1484</v>
      </c>
      <c r="E483" s="3" t="str">
        <f t="shared" si="30"/>
        <v xml:space="preserve">QK_AUDIO_TOGGLE                              </v>
      </c>
      <c r="F483" s="3" t="s">
        <v>1472</v>
      </c>
      <c r="G483" s="3" t="str">
        <f t="shared" si="31"/>
        <v>0x7482</v>
      </c>
      <c r="H483" s="3" t="s">
        <v>1483</v>
      </c>
      <c r="I483" s="3" t="str">
        <f t="shared" si="32"/>
        <v/>
      </c>
      <c r="J483" s="5" t="s">
        <v>1482</v>
      </c>
      <c r="K483" s="2" t="str">
        <f t="shared" si="33"/>
        <v/>
      </c>
    </row>
    <row r="484" spans="1:11" x14ac:dyDescent="0.25">
      <c r="A484" s="2" t="s">
        <v>964</v>
      </c>
      <c r="B484" s="2" t="s">
        <v>965</v>
      </c>
      <c r="D484" s="4" t="s">
        <v>1484</v>
      </c>
      <c r="E484" s="3" t="str">
        <f t="shared" si="30"/>
        <v xml:space="preserve">QK_AUDIO_CLICKY_TOGGLE                       </v>
      </c>
      <c r="F484" s="3" t="s">
        <v>1472</v>
      </c>
      <c r="G484" s="3" t="str">
        <f t="shared" si="31"/>
        <v>0x748A</v>
      </c>
      <c r="H484" s="3" t="s">
        <v>1483</v>
      </c>
      <c r="I484" s="3" t="str">
        <f t="shared" si="32"/>
        <v/>
      </c>
      <c r="J484" s="5" t="s">
        <v>1482</v>
      </c>
      <c r="K484" s="2" t="str">
        <f t="shared" si="33"/>
        <v/>
      </c>
    </row>
    <row r="485" spans="1:11" x14ac:dyDescent="0.25">
      <c r="A485" s="2" t="s">
        <v>966</v>
      </c>
      <c r="B485" s="2" t="s">
        <v>967</v>
      </c>
      <c r="D485" s="4" t="s">
        <v>1484</v>
      </c>
      <c r="E485" s="3" t="str">
        <f t="shared" si="30"/>
        <v xml:space="preserve">QK_AUDIO_CLICKY_ON                           </v>
      </c>
      <c r="F485" s="3" t="s">
        <v>1472</v>
      </c>
      <c r="G485" s="3" t="str">
        <f t="shared" si="31"/>
        <v>0x748B</v>
      </c>
      <c r="H485" s="3" t="s">
        <v>1483</v>
      </c>
      <c r="I485" s="3" t="str">
        <f t="shared" si="32"/>
        <v/>
      </c>
      <c r="J485" s="5" t="s">
        <v>1482</v>
      </c>
      <c r="K485" s="2" t="str">
        <f t="shared" si="33"/>
        <v/>
      </c>
    </row>
    <row r="486" spans="1:11" x14ac:dyDescent="0.25">
      <c r="A486" s="2" t="s">
        <v>968</v>
      </c>
      <c r="B486" s="2" t="s">
        <v>969</v>
      </c>
      <c r="D486" s="4" t="s">
        <v>1484</v>
      </c>
      <c r="E486" s="3" t="str">
        <f t="shared" si="30"/>
        <v xml:space="preserve">QK_AUDIO_CLICKY_OFF                          </v>
      </c>
      <c r="F486" s="3" t="s">
        <v>1472</v>
      </c>
      <c r="G486" s="3" t="str">
        <f t="shared" si="31"/>
        <v>0x748C</v>
      </c>
      <c r="H486" s="3" t="s">
        <v>1483</v>
      </c>
      <c r="I486" s="3" t="str">
        <f t="shared" si="32"/>
        <v/>
      </c>
      <c r="J486" s="5" t="s">
        <v>1482</v>
      </c>
      <c r="K486" s="2" t="str">
        <f t="shared" si="33"/>
        <v/>
      </c>
    </row>
    <row r="487" spans="1:11" x14ac:dyDescent="0.25">
      <c r="A487" s="2" t="s">
        <v>970</v>
      </c>
      <c r="B487" s="2" t="s">
        <v>971</v>
      </c>
      <c r="D487" s="4" t="s">
        <v>1484</v>
      </c>
      <c r="E487" s="3" t="str">
        <f t="shared" si="30"/>
        <v xml:space="preserve">QK_AUDIO_CLICKY_UP                           </v>
      </c>
      <c r="F487" s="3" t="s">
        <v>1472</v>
      </c>
      <c r="G487" s="3" t="str">
        <f t="shared" si="31"/>
        <v>0x748D</v>
      </c>
      <c r="H487" s="3" t="s">
        <v>1483</v>
      </c>
      <c r="I487" s="3" t="str">
        <f t="shared" si="32"/>
        <v/>
      </c>
      <c r="J487" s="5" t="s">
        <v>1482</v>
      </c>
      <c r="K487" s="2" t="str">
        <f t="shared" si="33"/>
        <v/>
      </c>
    </row>
    <row r="488" spans="1:11" x14ac:dyDescent="0.25">
      <c r="A488" s="2" t="s">
        <v>972</v>
      </c>
      <c r="B488" s="2" t="s">
        <v>973</v>
      </c>
      <c r="D488" s="4" t="s">
        <v>1484</v>
      </c>
      <c r="E488" s="3" t="str">
        <f t="shared" si="30"/>
        <v xml:space="preserve">QK_AUDIO_CLICKY_DOWN                         </v>
      </c>
      <c r="F488" s="3" t="s">
        <v>1472</v>
      </c>
      <c r="G488" s="3" t="str">
        <f t="shared" si="31"/>
        <v>0x748E</v>
      </c>
      <c r="H488" s="3" t="s">
        <v>1483</v>
      </c>
      <c r="I488" s="3" t="str">
        <f t="shared" si="32"/>
        <v/>
      </c>
      <c r="J488" s="5" t="s">
        <v>1482</v>
      </c>
      <c r="K488" s="2" t="str">
        <f t="shared" si="33"/>
        <v/>
      </c>
    </row>
    <row r="489" spans="1:11" x14ac:dyDescent="0.25">
      <c r="A489" s="2" t="s">
        <v>974</v>
      </c>
      <c r="B489" s="2" t="s">
        <v>975</v>
      </c>
      <c r="D489" s="4" t="s">
        <v>1484</v>
      </c>
      <c r="E489" s="3" t="str">
        <f t="shared" si="30"/>
        <v xml:space="preserve">QK_AUDIO_CLICKY_RESET                        </v>
      </c>
      <c r="F489" s="3" t="s">
        <v>1472</v>
      </c>
      <c r="G489" s="3" t="str">
        <f t="shared" si="31"/>
        <v>0x748F</v>
      </c>
      <c r="H489" s="3" t="s">
        <v>1483</v>
      </c>
      <c r="I489" s="3" t="str">
        <f t="shared" si="32"/>
        <v/>
      </c>
      <c r="J489" s="5" t="s">
        <v>1482</v>
      </c>
      <c r="K489" s="2" t="str">
        <f t="shared" si="33"/>
        <v/>
      </c>
    </row>
    <row r="490" spans="1:11" x14ac:dyDescent="0.25">
      <c r="A490" s="2" t="s">
        <v>976</v>
      </c>
      <c r="B490" s="2" t="s">
        <v>977</v>
      </c>
      <c r="D490" s="4" t="s">
        <v>1484</v>
      </c>
      <c r="E490" s="3" t="str">
        <f t="shared" si="30"/>
        <v xml:space="preserve">QK_MUSIC_ON                                  </v>
      </c>
      <c r="F490" s="3" t="s">
        <v>1472</v>
      </c>
      <c r="G490" s="3" t="str">
        <f t="shared" si="31"/>
        <v>0x7490</v>
      </c>
      <c r="H490" s="3" t="s">
        <v>1483</v>
      </c>
      <c r="I490" s="3" t="str">
        <f t="shared" si="32"/>
        <v/>
      </c>
      <c r="J490" s="5" t="s">
        <v>1482</v>
      </c>
      <c r="K490" s="2" t="str">
        <f t="shared" si="33"/>
        <v/>
      </c>
    </row>
    <row r="491" spans="1:11" x14ac:dyDescent="0.25">
      <c r="A491" s="2" t="s">
        <v>978</v>
      </c>
      <c r="B491" s="2" t="s">
        <v>979</v>
      </c>
      <c r="D491" s="4" t="s">
        <v>1484</v>
      </c>
      <c r="E491" s="3" t="str">
        <f t="shared" si="30"/>
        <v xml:space="preserve">QK_MUSIC_OFF                                 </v>
      </c>
      <c r="F491" s="3" t="s">
        <v>1472</v>
      </c>
      <c r="G491" s="3" t="str">
        <f t="shared" si="31"/>
        <v>0x7491</v>
      </c>
      <c r="H491" s="3" t="s">
        <v>1483</v>
      </c>
      <c r="I491" s="3" t="str">
        <f t="shared" si="32"/>
        <v/>
      </c>
      <c r="J491" s="5" t="s">
        <v>1482</v>
      </c>
      <c r="K491" s="2" t="str">
        <f t="shared" si="33"/>
        <v/>
      </c>
    </row>
    <row r="492" spans="1:11" x14ac:dyDescent="0.25">
      <c r="A492" s="2" t="s">
        <v>980</v>
      </c>
      <c r="B492" s="2" t="s">
        <v>981</v>
      </c>
      <c r="D492" s="4" t="s">
        <v>1484</v>
      </c>
      <c r="E492" s="3" t="str">
        <f t="shared" si="30"/>
        <v xml:space="preserve">QK_MUSIC_TOGGLE                              </v>
      </c>
      <c r="F492" s="3" t="s">
        <v>1472</v>
      </c>
      <c r="G492" s="3" t="str">
        <f t="shared" si="31"/>
        <v>0x7492</v>
      </c>
      <c r="H492" s="3" t="s">
        <v>1483</v>
      </c>
      <c r="I492" s="3" t="str">
        <f t="shared" si="32"/>
        <v/>
      </c>
      <c r="J492" s="5" t="s">
        <v>1482</v>
      </c>
      <c r="K492" s="2" t="str">
        <f t="shared" si="33"/>
        <v/>
      </c>
    </row>
    <row r="493" spans="1:11" x14ac:dyDescent="0.25">
      <c r="A493" s="2" t="s">
        <v>982</v>
      </c>
      <c r="B493" s="2" t="s">
        <v>983</v>
      </c>
      <c r="D493" s="4" t="s">
        <v>1484</v>
      </c>
      <c r="E493" s="3" t="str">
        <f t="shared" si="30"/>
        <v xml:space="preserve">QK_MUSIC_MODE_NEXT                           </v>
      </c>
      <c r="F493" s="3" t="s">
        <v>1472</v>
      </c>
      <c r="G493" s="3" t="str">
        <f t="shared" si="31"/>
        <v>0x7493</v>
      </c>
      <c r="H493" s="3" t="s">
        <v>1483</v>
      </c>
      <c r="I493" s="3" t="str">
        <f t="shared" si="32"/>
        <v/>
      </c>
      <c r="J493" s="5" t="s">
        <v>1482</v>
      </c>
      <c r="K493" s="2" t="str">
        <f t="shared" si="33"/>
        <v/>
      </c>
    </row>
    <row r="494" spans="1:11" x14ac:dyDescent="0.25">
      <c r="A494" s="2" t="s">
        <v>984</v>
      </c>
      <c r="B494" s="2" t="s">
        <v>985</v>
      </c>
      <c r="D494" s="4" t="s">
        <v>1484</v>
      </c>
      <c r="E494" s="3" t="str">
        <f t="shared" si="30"/>
        <v xml:space="preserve">QK_AUDIO_VOICE_NEXT                          </v>
      </c>
      <c r="F494" s="3" t="s">
        <v>1472</v>
      </c>
      <c r="G494" s="3" t="str">
        <f t="shared" si="31"/>
        <v>0x7494</v>
      </c>
      <c r="H494" s="3" t="s">
        <v>1483</v>
      </c>
      <c r="I494" s="3" t="str">
        <f t="shared" si="32"/>
        <v/>
      </c>
      <c r="J494" s="5" t="s">
        <v>1482</v>
      </c>
      <c r="K494" s="2" t="str">
        <f t="shared" si="33"/>
        <v/>
      </c>
    </row>
    <row r="495" spans="1:11" x14ac:dyDescent="0.25">
      <c r="A495" s="2" t="s">
        <v>986</v>
      </c>
      <c r="B495" s="2" t="s">
        <v>987</v>
      </c>
      <c r="D495" s="4" t="s">
        <v>1484</v>
      </c>
      <c r="E495" s="3" t="str">
        <f t="shared" si="30"/>
        <v xml:space="preserve">QK_AUDIO_VOICE_PREVIOUS                      </v>
      </c>
      <c r="F495" s="3" t="s">
        <v>1472</v>
      </c>
      <c r="G495" s="3" t="str">
        <f t="shared" si="31"/>
        <v>0x7495</v>
      </c>
      <c r="H495" s="3" t="s">
        <v>1483</v>
      </c>
      <c r="I495" s="3" t="str">
        <f t="shared" si="32"/>
        <v/>
      </c>
      <c r="J495" s="5" t="s">
        <v>1482</v>
      </c>
      <c r="K495" s="2" t="str">
        <f t="shared" si="33"/>
        <v/>
      </c>
    </row>
    <row r="496" spans="1:11" x14ac:dyDescent="0.25">
      <c r="A496" s="2" t="s">
        <v>988</v>
      </c>
      <c r="B496" s="2" t="s">
        <v>989</v>
      </c>
      <c r="D496" s="4" t="s">
        <v>1484</v>
      </c>
      <c r="E496" s="3" t="str">
        <f t="shared" si="30"/>
        <v xml:space="preserve">QK_STENO_BOLT                                </v>
      </c>
      <c r="F496" s="3" t="s">
        <v>1472</v>
      </c>
      <c r="G496" s="3" t="str">
        <f t="shared" si="31"/>
        <v>0x74F0</v>
      </c>
      <c r="H496" s="3" t="s">
        <v>1483</v>
      </c>
      <c r="I496" s="3" t="str">
        <f t="shared" si="32"/>
        <v/>
      </c>
      <c r="J496" s="5" t="s">
        <v>1482</v>
      </c>
      <c r="K496" s="2" t="str">
        <f t="shared" si="33"/>
        <v/>
      </c>
    </row>
    <row r="497" spans="1:11" x14ac:dyDescent="0.25">
      <c r="A497" s="2" t="s">
        <v>990</v>
      </c>
      <c r="B497" s="2" t="s">
        <v>991</v>
      </c>
      <c r="D497" s="4" t="s">
        <v>1484</v>
      </c>
      <c r="E497" s="3" t="str">
        <f t="shared" si="30"/>
        <v xml:space="preserve">QK_STENO_GEMINI                              </v>
      </c>
      <c r="F497" s="3" t="s">
        <v>1472</v>
      </c>
      <c r="G497" s="3" t="str">
        <f t="shared" si="31"/>
        <v>0x74F1</v>
      </c>
      <c r="H497" s="3" t="s">
        <v>1483</v>
      </c>
      <c r="I497" s="3" t="str">
        <f t="shared" si="32"/>
        <v/>
      </c>
      <c r="J497" s="5" t="s">
        <v>1482</v>
      </c>
      <c r="K497" s="2" t="str">
        <f t="shared" si="33"/>
        <v/>
      </c>
    </row>
    <row r="498" spans="1:11" x14ac:dyDescent="0.25">
      <c r="A498" s="2" t="s">
        <v>992</v>
      </c>
      <c r="B498" s="2" t="s">
        <v>993</v>
      </c>
      <c r="D498" s="4" t="s">
        <v>1484</v>
      </c>
      <c r="E498" s="3" t="str">
        <f t="shared" si="30"/>
        <v xml:space="preserve">QK_STENO_COMB                                </v>
      </c>
      <c r="F498" s="3" t="s">
        <v>1472</v>
      </c>
      <c r="G498" s="3" t="str">
        <f t="shared" si="31"/>
        <v>0x74F2</v>
      </c>
      <c r="H498" s="3" t="s">
        <v>1483</v>
      </c>
      <c r="I498" s="3" t="str">
        <f t="shared" si="32"/>
        <v/>
      </c>
      <c r="J498" s="5" t="s">
        <v>1482</v>
      </c>
      <c r="K498" s="2" t="str">
        <f t="shared" si="33"/>
        <v/>
      </c>
    </row>
    <row r="499" spans="1:11" x14ac:dyDescent="0.25">
      <c r="A499" s="2" t="s">
        <v>994</v>
      </c>
      <c r="B499" s="2" t="s">
        <v>995</v>
      </c>
      <c r="D499" s="4" t="s">
        <v>1484</v>
      </c>
      <c r="E499" s="3" t="str">
        <f t="shared" si="30"/>
        <v xml:space="preserve">QK_STENO_COMB_MAX                            </v>
      </c>
      <c r="F499" s="3" t="s">
        <v>1472</v>
      </c>
      <c r="G499" s="3" t="str">
        <f t="shared" si="31"/>
        <v>0x74FC</v>
      </c>
      <c r="H499" s="3" t="s">
        <v>1483</v>
      </c>
      <c r="I499" s="3" t="str">
        <f t="shared" si="32"/>
        <v/>
      </c>
      <c r="J499" s="5" t="s">
        <v>1482</v>
      </c>
      <c r="K499" s="2" t="str">
        <f t="shared" si="33"/>
        <v/>
      </c>
    </row>
    <row r="500" spans="1:11" x14ac:dyDescent="0.25">
      <c r="A500" s="2" t="s">
        <v>996</v>
      </c>
      <c r="B500" s="2" t="s">
        <v>997</v>
      </c>
      <c r="C500" s="3" t="s">
        <v>1497</v>
      </c>
      <c r="D500" s="4" t="s">
        <v>1484</v>
      </c>
      <c r="E500" s="3" t="str">
        <f t="shared" si="30"/>
        <v xml:space="preserve">QK_MACRO_0                                   </v>
      </c>
      <c r="F500" s="3" t="s">
        <v>1472</v>
      </c>
      <c r="G500" s="3" t="str">
        <f t="shared" si="31"/>
        <v>0x7700</v>
      </c>
      <c r="H500" s="3" t="s">
        <v>1483</v>
      </c>
      <c r="I500" s="3" t="str">
        <f t="shared" si="32"/>
        <v>M0</v>
      </c>
      <c r="J500" s="5" t="s">
        <v>1482</v>
      </c>
      <c r="K500" s="2" t="str">
        <f t="shared" si="33"/>
        <v xml:space="preserve">    X (  QK_MACRO_0                                   , 0x7700,    "M0"     ) \</v>
      </c>
    </row>
    <row r="501" spans="1:11" x14ac:dyDescent="0.25">
      <c r="A501" s="2" t="s">
        <v>998</v>
      </c>
      <c r="B501" s="2" t="s">
        <v>999</v>
      </c>
      <c r="C501" s="3" t="s">
        <v>1498</v>
      </c>
      <c r="D501" s="4" t="s">
        <v>1484</v>
      </c>
      <c r="E501" s="3" t="str">
        <f t="shared" si="30"/>
        <v xml:space="preserve">QK_MACRO_1                                   </v>
      </c>
      <c r="F501" s="3" t="s">
        <v>1472</v>
      </c>
      <c r="G501" s="3" t="str">
        <f t="shared" si="31"/>
        <v>0x7701</v>
      </c>
      <c r="H501" s="3" t="s">
        <v>1483</v>
      </c>
      <c r="I501" s="3" t="str">
        <f t="shared" si="32"/>
        <v>M1</v>
      </c>
      <c r="J501" s="5" t="s">
        <v>1482</v>
      </c>
      <c r="K501" s="2" t="str">
        <f t="shared" si="33"/>
        <v xml:space="preserve">    X (  QK_MACRO_1                                   , 0x7701,    "M1"     ) \</v>
      </c>
    </row>
    <row r="502" spans="1:11" x14ac:dyDescent="0.25">
      <c r="A502" s="2" t="s">
        <v>1000</v>
      </c>
      <c r="B502" s="2" t="s">
        <v>1001</v>
      </c>
      <c r="C502" s="3" t="s">
        <v>1499</v>
      </c>
      <c r="D502" s="4" t="s">
        <v>1484</v>
      </c>
      <c r="E502" s="3" t="str">
        <f t="shared" si="30"/>
        <v xml:space="preserve">QK_MACRO_2                                   </v>
      </c>
      <c r="F502" s="3" t="s">
        <v>1472</v>
      </c>
      <c r="G502" s="3" t="str">
        <f t="shared" si="31"/>
        <v>0x7702</v>
      </c>
      <c r="H502" s="3" t="s">
        <v>1483</v>
      </c>
      <c r="I502" s="3" t="str">
        <f t="shared" si="32"/>
        <v>M2</v>
      </c>
      <c r="J502" s="5" t="s">
        <v>1482</v>
      </c>
      <c r="K502" s="2" t="str">
        <f t="shared" si="33"/>
        <v xml:space="preserve">    X (  QK_MACRO_2                                   , 0x7702,    "M2"     ) \</v>
      </c>
    </row>
    <row r="503" spans="1:11" x14ac:dyDescent="0.25">
      <c r="A503" s="2" t="s">
        <v>1002</v>
      </c>
      <c r="B503" s="2" t="s">
        <v>1003</v>
      </c>
      <c r="C503" s="3" t="s">
        <v>1500</v>
      </c>
      <c r="D503" s="4" t="s">
        <v>1484</v>
      </c>
      <c r="E503" s="3" t="str">
        <f t="shared" si="30"/>
        <v xml:space="preserve">QK_MACRO_3                                   </v>
      </c>
      <c r="F503" s="3" t="s">
        <v>1472</v>
      </c>
      <c r="G503" s="3" t="str">
        <f t="shared" si="31"/>
        <v>0x7703</v>
      </c>
      <c r="H503" s="3" t="s">
        <v>1483</v>
      </c>
      <c r="I503" s="3" t="str">
        <f t="shared" si="32"/>
        <v>M3</v>
      </c>
      <c r="J503" s="5" t="s">
        <v>1482</v>
      </c>
      <c r="K503" s="2" t="str">
        <f t="shared" si="33"/>
        <v xml:space="preserve">    X (  QK_MACRO_3                                   , 0x7703,    "M3"     ) \</v>
      </c>
    </row>
    <row r="504" spans="1:11" x14ac:dyDescent="0.25">
      <c r="A504" s="2" t="s">
        <v>1004</v>
      </c>
      <c r="B504" s="2" t="s">
        <v>1005</v>
      </c>
      <c r="C504" s="3" t="s">
        <v>1501</v>
      </c>
      <c r="D504" s="4" t="s">
        <v>1484</v>
      </c>
      <c r="E504" s="3" t="str">
        <f t="shared" si="30"/>
        <v xml:space="preserve">QK_MACRO_4                                   </v>
      </c>
      <c r="F504" s="3" t="s">
        <v>1472</v>
      </c>
      <c r="G504" s="3" t="str">
        <f t="shared" si="31"/>
        <v>0x7704</v>
      </c>
      <c r="H504" s="3" t="s">
        <v>1483</v>
      </c>
      <c r="I504" s="3" t="str">
        <f t="shared" si="32"/>
        <v>M4</v>
      </c>
      <c r="J504" s="5" t="s">
        <v>1482</v>
      </c>
      <c r="K504" s="2" t="str">
        <f t="shared" si="33"/>
        <v xml:space="preserve">    X (  QK_MACRO_4                                   , 0x7704,    "M4"     ) \</v>
      </c>
    </row>
    <row r="505" spans="1:11" x14ac:dyDescent="0.25">
      <c r="A505" s="2" t="s">
        <v>1006</v>
      </c>
      <c r="B505" s="2" t="s">
        <v>1007</v>
      </c>
      <c r="C505" s="3" t="s">
        <v>1502</v>
      </c>
      <c r="D505" s="4" t="s">
        <v>1484</v>
      </c>
      <c r="E505" s="3" t="str">
        <f t="shared" si="30"/>
        <v xml:space="preserve">QK_MACRO_5                                   </v>
      </c>
      <c r="F505" s="3" t="s">
        <v>1472</v>
      </c>
      <c r="G505" s="3" t="str">
        <f t="shared" si="31"/>
        <v>0x7705</v>
      </c>
      <c r="H505" s="3" t="s">
        <v>1483</v>
      </c>
      <c r="I505" s="3" t="str">
        <f t="shared" si="32"/>
        <v>M5</v>
      </c>
      <c r="J505" s="5" t="s">
        <v>1482</v>
      </c>
      <c r="K505" s="2" t="str">
        <f t="shared" si="33"/>
        <v xml:space="preserve">    X (  QK_MACRO_5                                   , 0x7705,    "M5"     ) \</v>
      </c>
    </row>
    <row r="506" spans="1:11" x14ac:dyDescent="0.25">
      <c r="A506" s="2" t="s">
        <v>1008</v>
      </c>
      <c r="B506" s="2" t="s">
        <v>1009</v>
      </c>
      <c r="C506" s="3" t="s">
        <v>1503</v>
      </c>
      <c r="D506" s="4" t="s">
        <v>1484</v>
      </c>
      <c r="E506" s="3" t="str">
        <f t="shared" si="30"/>
        <v xml:space="preserve">QK_MACRO_6                                   </v>
      </c>
      <c r="F506" s="3" t="s">
        <v>1472</v>
      </c>
      <c r="G506" s="3" t="str">
        <f t="shared" si="31"/>
        <v>0x7706</v>
      </c>
      <c r="H506" s="3" t="s">
        <v>1483</v>
      </c>
      <c r="I506" s="3" t="str">
        <f t="shared" si="32"/>
        <v>M6</v>
      </c>
      <c r="J506" s="5" t="s">
        <v>1482</v>
      </c>
      <c r="K506" s="2" t="str">
        <f t="shared" si="33"/>
        <v xml:space="preserve">    X (  QK_MACRO_6                                   , 0x7706,    "M6"     ) \</v>
      </c>
    </row>
    <row r="507" spans="1:11" x14ac:dyDescent="0.25">
      <c r="A507" s="2" t="s">
        <v>1010</v>
      </c>
      <c r="B507" s="2" t="s">
        <v>1011</v>
      </c>
      <c r="C507" s="3" t="s">
        <v>1504</v>
      </c>
      <c r="D507" s="4" t="s">
        <v>1484</v>
      </c>
      <c r="E507" s="3" t="str">
        <f t="shared" si="30"/>
        <v xml:space="preserve">QK_MACRO_7                                   </v>
      </c>
      <c r="F507" s="3" t="s">
        <v>1472</v>
      </c>
      <c r="G507" s="3" t="str">
        <f t="shared" si="31"/>
        <v>0x7707</v>
      </c>
      <c r="H507" s="3" t="s">
        <v>1483</v>
      </c>
      <c r="I507" s="3" t="str">
        <f t="shared" si="32"/>
        <v>M7</v>
      </c>
      <c r="J507" s="5" t="s">
        <v>1482</v>
      </c>
      <c r="K507" s="2" t="str">
        <f t="shared" si="33"/>
        <v xml:space="preserve">    X (  QK_MACRO_7                                   , 0x7707,    "M7"     ) \</v>
      </c>
    </row>
    <row r="508" spans="1:11" x14ac:dyDescent="0.25">
      <c r="A508" s="2" t="s">
        <v>1012</v>
      </c>
      <c r="B508" s="2" t="s">
        <v>1013</v>
      </c>
      <c r="C508" s="3" t="s">
        <v>1505</v>
      </c>
      <c r="D508" s="4" t="s">
        <v>1484</v>
      </c>
      <c r="E508" s="3" t="str">
        <f t="shared" si="30"/>
        <v xml:space="preserve">QK_MACRO_8                                   </v>
      </c>
      <c r="F508" s="3" t="s">
        <v>1472</v>
      </c>
      <c r="G508" s="3" t="str">
        <f t="shared" si="31"/>
        <v>0x7708</v>
      </c>
      <c r="H508" s="3" t="s">
        <v>1483</v>
      </c>
      <c r="I508" s="3" t="str">
        <f t="shared" si="32"/>
        <v>M8</v>
      </c>
      <c r="J508" s="5" t="s">
        <v>1482</v>
      </c>
      <c r="K508" s="2" t="str">
        <f t="shared" si="33"/>
        <v xml:space="preserve">    X (  QK_MACRO_8                                   , 0x7708,    "M8"     ) \</v>
      </c>
    </row>
    <row r="509" spans="1:11" x14ac:dyDescent="0.25">
      <c r="A509" s="2" t="s">
        <v>1014</v>
      </c>
      <c r="B509" s="2" t="s">
        <v>1015</v>
      </c>
      <c r="C509" s="3" t="s">
        <v>1506</v>
      </c>
      <c r="D509" s="4" t="s">
        <v>1484</v>
      </c>
      <c r="E509" s="3" t="str">
        <f t="shared" si="30"/>
        <v xml:space="preserve">QK_MACRO_9                                   </v>
      </c>
      <c r="F509" s="3" t="s">
        <v>1472</v>
      </c>
      <c r="G509" s="3" t="str">
        <f t="shared" si="31"/>
        <v>0x7709</v>
      </c>
      <c r="H509" s="3" t="s">
        <v>1483</v>
      </c>
      <c r="I509" s="3" t="str">
        <f t="shared" si="32"/>
        <v>M9</v>
      </c>
      <c r="J509" s="5" t="s">
        <v>1482</v>
      </c>
      <c r="K509" s="2" t="str">
        <f t="shared" si="33"/>
        <v xml:space="preserve">    X (  QK_MACRO_9                                   , 0x7709,    "M9"     ) \</v>
      </c>
    </row>
    <row r="510" spans="1:11" x14ac:dyDescent="0.25">
      <c r="A510" s="2" t="s">
        <v>1016</v>
      </c>
      <c r="B510" s="2" t="s">
        <v>1017</v>
      </c>
      <c r="C510" s="3" t="s">
        <v>1507</v>
      </c>
      <c r="D510" s="4" t="s">
        <v>1484</v>
      </c>
      <c r="E510" s="3" t="str">
        <f t="shared" si="30"/>
        <v xml:space="preserve">QK_MACRO_10                                  </v>
      </c>
      <c r="F510" s="3" t="s">
        <v>1472</v>
      </c>
      <c r="G510" s="3" t="str">
        <f t="shared" si="31"/>
        <v>0x770A</v>
      </c>
      <c r="H510" s="3" t="s">
        <v>1483</v>
      </c>
      <c r="I510" s="3" t="str">
        <f t="shared" si="32"/>
        <v>M10</v>
      </c>
      <c r="J510" s="5" t="s">
        <v>1482</v>
      </c>
      <c r="K510" s="2" t="str">
        <f t="shared" si="33"/>
        <v xml:space="preserve">    X (  QK_MACRO_10                                  , 0x770A,    "M10"     ) \</v>
      </c>
    </row>
    <row r="511" spans="1:11" x14ac:dyDescent="0.25">
      <c r="A511" s="2" t="s">
        <v>1018</v>
      </c>
      <c r="B511" s="2" t="s">
        <v>1019</v>
      </c>
      <c r="C511" s="3" t="s">
        <v>1508</v>
      </c>
      <c r="D511" s="4" t="s">
        <v>1484</v>
      </c>
      <c r="E511" s="3" t="str">
        <f t="shared" si="30"/>
        <v xml:space="preserve">QK_MACRO_11                                  </v>
      </c>
      <c r="F511" s="3" t="s">
        <v>1472</v>
      </c>
      <c r="G511" s="3" t="str">
        <f t="shared" si="31"/>
        <v>0x770B</v>
      </c>
      <c r="H511" s="3" t="s">
        <v>1483</v>
      </c>
      <c r="I511" s="3" t="str">
        <f t="shared" si="32"/>
        <v>M11</v>
      </c>
      <c r="J511" s="5" t="s">
        <v>1482</v>
      </c>
      <c r="K511" s="2" t="str">
        <f t="shared" si="33"/>
        <v xml:space="preserve">    X (  QK_MACRO_11                                  , 0x770B,    "M11"     ) \</v>
      </c>
    </row>
    <row r="512" spans="1:11" x14ac:dyDescent="0.25">
      <c r="A512" s="2" t="s">
        <v>1020</v>
      </c>
      <c r="B512" s="2" t="s">
        <v>1021</v>
      </c>
      <c r="C512" s="3" t="s">
        <v>1509</v>
      </c>
      <c r="D512" s="4" t="s">
        <v>1484</v>
      </c>
      <c r="E512" s="3" t="str">
        <f t="shared" si="30"/>
        <v xml:space="preserve">QK_MACRO_12                                  </v>
      </c>
      <c r="F512" s="3" t="s">
        <v>1472</v>
      </c>
      <c r="G512" s="3" t="str">
        <f t="shared" si="31"/>
        <v>0x770C</v>
      </c>
      <c r="H512" s="3" t="s">
        <v>1483</v>
      </c>
      <c r="I512" s="3" t="str">
        <f t="shared" si="32"/>
        <v>M12</v>
      </c>
      <c r="J512" s="5" t="s">
        <v>1482</v>
      </c>
      <c r="K512" s="2" t="str">
        <f t="shared" si="33"/>
        <v xml:space="preserve">    X (  QK_MACRO_12                                  , 0x770C,    "M12"     ) \</v>
      </c>
    </row>
    <row r="513" spans="1:11" x14ac:dyDescent="0.25">
      <c r="A513" s="2" t="s">
        <v>1022</v>
      </c>
      <c r="B513" s="2" t="s">
        <v>1023</v>
      </c>
      <c r="C513" s="3" t="s">
        <v>1510</v>
      </c>
      <c r="D513" s="4" t="s">
        <v>1484</v>
      </c>
      <c r="E513" s="3" t="str">
        <f t="shared" si="30"/>
        <v xml:space="preserve">QK_MACRO_13                                  </v>
      </c>
      <c r="F513" s="3" t="s">
        <v>1472</v>
      </c>
      <c r="G513" s="3" t="str">
        <f t="shared" si="31"/>
        <v>0x770D</v>
      </c>
      <c r="H513" s="3" t="s">
        <v>1483</v>
      </c>
      <c r="I513" s="3" t="str">
        <f t="shared" si="32"/>
        <v>M13</v>
      </c>
      <c r="J513" s="5" t="s">
        <v>1482</v>
      </c>
      <c r="K513" s="2" t="str">
        <f t="shared" si="33"/>
        <v xml:space="preserve">    X (  QK_MACRO_13                                  , 0x770D,    "M13"     ) \</v>
      </c>
    </row>
    <row r="514" spans="1:11" x14ac:dyDescent="0.25">
      <c r="A514" s="2" t="s">
        <v>1024</v>
      </c>
      <c r="B514" s="2" t="s">
        <v>1025</v>
      </c>
      <c r="C514" s="3" t="s">
        <v>1511</v>
      </c>
      <c r="D514" s="4" t="s">
        <v>1484</v>
      </c>
      <c r="E514" s="3" t="str">
        <f t="shared" si="30"/>
        <v xml:space="preserve">QK_MACRO_14                                  </v>
      </c>
      <c r="F514" s="3" t="s">
        <v>1472</v>
      </c>
      <c r="G514" s="3" t="str">
        <f t="shared" si="31"/>
        <v>0x770E</v>
      </c>
      <c r="H514" s="3" t="s">
        <v>1483</v>
      </c>
      <c r="I514" s="3" t="str">
        <f t="shared" si="32"/>
        <v>M14</v>
      </c>
      <c r="J514" s="5" t="s">
        <v>1482</v>
      </c>
      <c r="K514" s="2" t="str">
        <f t="shared" si="33"/>
        <v xml:space="preserve">    X (  QK_MACRO_14                                  , 0x770E,    "M14"     ) \</v>
      </c>
    </row>
    <row r="515" spans="1:11" x14ac:dyDescent="0.25">
      <c r="A515" s="2" t="s">
        <v>1026</v>
      </c>
      <c r="B515" s="2" t="s">
        <v>1027</v>
      </c>
      <c r="C515" s="3" t="s">
        <v>1512</v>
      </c>
      <c r="D515" s="4" t="s">
        <v>1484</v>
      </c>
      <c r="E515" s="3" t="str">
        <f t="shared" ref="E515:E578" si="34">LEFT(A515 &amp; REPT(" ",$E$1),$E$1)</f>
        <v xml:space="preserve">QK_MACRO_15                                  </v>
      </c>
      <c r="F515" s="3" t="s">
        <v>1472</v>
      </c>
      <c r="G515" s="3" t="str">
        <f t="shared" ref="G515:G578" si="35">B515</f>
        <v>0x770F</v>
      </c>
      <c r="H515" s="3" t="s">
        <v>1483</v>
      </c>
      <c r="I515" s="3" t="str">
        <f t="shared" ref="I515:I578" si="36">IF(C515="","",C515)</f>
        <v>M15</v>
      </c>
      <c r="J515" s="5" t="s">
        <v>1482</v>
      </c>
      <c r="K515" s="2" t="str">
        <f t="shared" ref="K515:K578" si="37">IF(I515="","",_xlfn.CONCAT(D515:J515))</f>
        <v xml:space="preserve">    X (  QK_MACRO_15                                  , 0x770F,    "M15"     ) \</v>
      </c>
    </row>
    <row r="516" spans="1:11" x14ac:dyDescent="0.25">
      <c r="A516" s="2" t="s">
        <v>1028</v>
      </c>
      <c r="B516" s="2" t="s">
        <v>1029</v>
      </c>
      <c r="C516" s="3" t="s">
        <v>1513</v>
      </c>
      <c r="D516" s="4" t="s">
        <v>1484</v>
      </c>
      <c r="E516" s="3" t="str">
        <f t="shared" si="34"/>
        <v xml:space="preserve">QK_MACRO_16                                  </v>
      </c>
      <c r="F516" s="3" t="s">
        <v>1472</v>
      </c>
      <c r="G516" s="3" t="str">
        <f t="shared" si="35"/>
        <v>0x7710</v>
      </c>
      <c r="H516" s="3" t="s">
        <v>1483</v>
      </c>
      <c r="I516" s="3" t="str">
        <f t="shared" si="36"/>
        <v>M16</v>
      </c>
      <c r="J516" s="5" t="s">
        <v>1482</v>
      </c>
      <c r="K516" s="2" t="str">
        <f t="shared" si="37"/>
        <v xml:space="preserve">    X (  QK_MACRO_16                                  , 0x7710,    "M16"     ) \</v>
      </c>
    </row>
    <row r="517" spans="1:11" x14ac:dyDescent="0.25">
      <c r="A517" s="2" t="s">
        <v>1030</v>
      </c>
      <c r="B517" s="2" t="s">
        <v>1031</v>
      </c>
      <c r="C517" s="3" t="s">
        <v>1514</v>
      </c>
      <c r="D517" s="4" t="s">
        <v>1484</v>
      </c>
      <c r="E517" s="3" t="str">
        <f t="shared" si="34"/>
        <v xml:space="preserve">QK_MACRO_17                                  </v>
      </c>
      <c r="F517" s="3" t="s">
        <v>1472</v>
      </c>
      <c r="G517" s="3" t="str">
        <f t="shared" si="35"/>
        <v>0x7711</v>
      </c>
      <c r="H517" s="3" t="s">
        <v>1483</v>
      </c>
      <c r="I517" s="3" t="str">
        <f t="shared" si="36"/>
        <v>M17</v>
      </c>
      <c r="J517" s="5" t="s">
        <v>1482</v>
      </c>
      <c r="K517" s="2" t="str">
        <f t="shared" si="37"/>
        <v xml:space="preserve">    X (  QK_MACRO_17                                  , 0x7711,    "M17"     ) \</v>
      </c>
    </row>
    <row r="518" spans="1:11" x14ac:dyDescent="0.25">
      <c r="A518" s="2" t="s">
        <v>1032</v>
      </c>
      <c r="B518" s="2" t="s">
        <v>1033</v>
      </c>
      <c r="C518" s="3" t="s">
        <v>1515</v>
      </c>
      <c r="D518" s="4" t="s">
        <v>1484</v>
      </c>
      <c r="E518" s="3" t="str">
        <f t="shared" si="34"/>
        <v xml:space="preserve">QK_MACRO_18                                  </v>
      </c>
      <c r="F518" s="3" t="s">
        <v>1472</v>
      </c>
      <c r="G518" s="3" t="str">
        <f t="shared" si="35"/>
        <v>0x7712</v>
      </c>
      <c r="H518" s="3" t="s">
        <v>1483</v>
      </c>
      <c r="I518" s="3" t="str">
        <f t="shared" si="36"/>
        <v>M18</v>
      </c>
      <c r="J518" s="5" t="s">
        <v>1482</v>
      </c>
      <c r="K518" s="2" t="str">
        <f t="shared" si="37"/>
        <v xml:space="preserve">    X (  QK_MACRO_18                                  , 0x7712,    "M18"     ) \</v>
      </c>
    </row>
    <row r="519" spans="1:11" x14ac:dyDescent="0.25">
      <c r="A519" s="2" t="s">
        <v>1034</v>
      </c>
      <c r="B519" s="2" t="s">
        <v>1035</v>
      </c>
      <c r="C519" s="3" t="s">
        <v>1516</v>
      </c>
      <c r="D519" s="4" t="s">
        <v>1484</v>
      </c>
      <c r="E519" s="3" t="str">
        <f t="shared" si="34"/>
        <v xml:space="preserve">QK_MACRO_19                                  </v>
      </c>
      <c r="F519" s="3" t="s">
        <v>1472</v>
      </c>
      <c r="G519" s="3" t="str">
        <f t="shared" si="35"/>
        <v>0x7713</v>
      </c>
      <c r="H519" s="3" t="s">
        <v>1483</v>
      </c>
      <c r="I519" s="3" t="str">
        <f t="shared" si="36"/>
        <v>M19</v>
      </c>
      <c r="J519" s="5" t="s">
        <v>1482</v>
      </c>
      <c r="K519" s="2" t="str">
        <f t="shared" si="37"/>
        <v xml:space="preserve">    X (  QK_MACRO_19                                  , 0x7713,    "M19"     ) \</v>
      </c>
    </row>
    <row r="520" spans="1:11" x14ac:dyDescent="0.25">
      <c r="A520" s="2" t="s">
        <v>1036</v>
      </c>
      <c r="B520" s="2" t="s">
        <v>1037</v>
      </c>
      <c r="C520" s="3" t="s">
        <v>1517</v>
      </c>
      <c r="D520" s="4" t="s">
        <v>1484</v>
      </c>
      <c r="E520" s="3" t="str">
        <f t="shared" si="34"/>
        <v xml:space="preserve">QK_MACRO_20                                  </v>
      </c>
      <c r="F520" s="3" t="s">
        <v>1472</v>
      </c>
      <c r="G520" s="3" t="str">
        <f t="shared" si="35"/>
        <v>0x7714</v>
      </c>
      <c r="H520" s="3" t="s">
        <v>1483</v>
      </c>
      <c r="I520" s="3" t="str">
        <f t="shared" si="36"/>
        <v>M20</v>
      </c>
      <c r="J520" s="5" t="s">
        <v>1482</v>
      </c>
      <c r="K520" s="2" t="str">
        <f t="shared" si="37"/>
        <v xml:space="preserve">    X (  QK_MACRO_20                                  , 0x7714,    "M20"     ) \</v>
      </c>
    </row>
    <row r="521" spans="1:11" x14ac:dyDescent="0.25">
      <c r="A521" s="2" t="s">
        <v>1038</v>
      </c>
      <c r="B521" s="2" t="s">
        <v>1039</v>
      </c>
      <c r="C521" s="3" t="s">
        <v>1518</v>
      </c>
      <c r="D521" s="4" t="s">
        <v>1484</v>
      </c>
      <c r="E521" s="3" t="str">
        <f t="shared" si="34"/>
        <v xml:space="preserve">QK_MACRO_21                                  </v>
      </c>
      <c r="F521" s="3" t="s">
        <v>1472</v>
      </c>
      <c r="G521" s="3" t="str">
        <f t="shared" si="35"/>
        <v>0x7715</v>
      </c>
      <c r="H521" s="3" t="s">
        <v>1483</v>
      </c>
      <c r="I521" s="3" t="str">
        <f t="shared" si="36"/>
        <v>M21</v>
      </c>
      <c r="J521" s="5" t="s">
        <v>1482</v>
      </c>
      <c r="K521" s="2" t="str">
        <f t="shared" si="37"/>
        <v xml:space="preserve">    X (  QK_MACRO_21                                  , 0x7715,    "M21"     ) \</v>
      </c>
    </row>
    <row r="522" spans="1:11" x14ac:dyDescent="0.25">
      <c r="A522" s="2" t="s">
        <v>1040</v>
      </c>
      <c r="B522" s="2" t="s">
        <v>1041</v>
      </c>
      <c r="C522" s="3" t="s">
        <v>1519</v>
      </c>
      <c r="D522" s="4" t="s">
        <v>1484</v>
      </c>
      <c r="E522" s="3" t="str">
        <f t="shared" si="34"/>
        <v xml:space="preserve">QK_MACRO_22                                  </v>
      </c>
      <c r="F522" s="3" t="s">
        <v>1472</v>
      </c>
      <c r="G522" s="3" t="str">
        <f t="shared" si="35"/>
        <v>0x7716</v>
      </c>
      <c r="H522" s="3" t="s">
        <v>1483</v>
      </c>
      <c r="I522" s="3" t="str">
        <f t="shared" si="36"/>
        <v>M22</v>
      </c>
      <c r="J522" s="5" t="s">
        <v>1482</v>
      </c>
      <c r="K522" s="2" t="str">
        <f t="shared" si="37"/>
        <v xml:space="preserve">    X (  QK_MACRO_22                                  , 0x7716,    "M22"     ) \</v>
      </c>
    </row>
    <row r="523" spans="1:11" x14ac:dyDescent="0.25">
      <c r="A523" s="2" t="s">
        <v>1042</v>
      </c>
      <c r="B523" s="2" t="s">
        <v>1043</v>
      </c>
      <c r="C523" s="3" t="s">
        <v>1520</v>
      </c>
      <c r="D523" s="4" t="s">
        <v>1484</v>
      </c>
      <c r="E523" s="3" t="str">
        <f t="shared" si="34"/>
        <v xml:space="preserve">QK_MACRO_23                                  </v>
      </c>
      <c r="F523" s="3" t="s">
        <v>1472</v>
      </c>
      <c r="G523" s="3" t="str">
        <f t="shared" si="35"/>
        <v>0x7717</v>
      </c>
      <c r="H523" s="3" t="s">
        <v>1483</v>
      </c>
      <c r="I523" s="3" t="str">
        <f t="shared" si="36"/>
        <v>M23</v>
      </c>
      <c r="J523" s="5" t="s">
        <v>1482</v>
      </c>
      <c r="K523" s="2" t="str">
        <f t="shared" si="37"/>
        <v xml:space="preserve">    X (  QK_MACRO_23                                  , 0x7717,    "M23"     ) \</v>
      </c>
    </row>
    <row r="524" spans="1:11" x14ac:dyDescent="0.25">
      <c r="A524" s="2" t="s">
        <v>1044</v>
      </c>
      <c r="B524" s="2" t="s">
        <v>1045</v>
      </c>
      <c r="C524" s="3" t="s">
        <v>1521</v>
      </c>
      <c r="D524" s="4" t="s">
        <v>1484</v>
      </c>
      <c r="E524" s="3" t="str">
        <f t="shared" si="34"/>
        <v xml:space="preserve">QK_MACRO_24                                  </v>
      </c>
      <c r="F524" s="3" t="s">
        <v>1472</v>
      </c>
      <c r="G524" s="3" t="str">
        <f t="shared" si="35"/>
        <v>0x7718</v>
      </c>
      <c r="H524" s="3" t="s">
        <v>1483</v>
      </c>
      <c r="I524" s="3" t="str">
        <f t="shared" si="36"/>
        <v>M24</v>
      </c>
      <c r="J524" s="5" t="s">
        <v>1482</v>
      </c>
      <c r="K524" s="2" t="str">
        <f t="shared" si="37"/>
        <v xml:space="preserve">    X (  QK_MACRO_24                                  , 0x7718,    "M24"     ) \</v>
      </c>
    </row>
    <row r="525" spans="1:11" x14ac:dyDescent="0.25">
      <c r="A525" s="2" t="s">
        <v>1046</v>
      </c>
      <c r="B525" s="2" t="s">
        <v>1047</v>
      </c>
      <c r="C525" s="3" t="s">
        <v>1522</v>
      </c>
      <c r="D525" s="4" t="s">
        <v>1484</v>
      </c>
      <c r="E525" s="3" t="str">
        <f t="shared" si="34"/>
        <v xml:space="preserve">QK_MACRO_25                                  </v>
      </c>
      <c r="F525" s="3" t="s">
        <v>1472</v>
      </c>
      <c r="G525" s="3" t="str">
        <f t="shared" si="35"/>
        <v>0x7719</v>
      </c>
      <c r="H525" s="3" t="s">
        <v>1483</v>
      </c>
      <c r="I525" s="3" t="str">
        <f t="shared" si="36"/>
        <v>M25</v>
      </c>
      <c r="J525" s="5" t="s">
        <v>1482</v>
      </c>
      <c r="K525" s="2" t="str">
        <f t="shared" si="37"/>
        <v xml:space="preserve">    X (  QK_MACRO_25                                  , 0x7719,    "M25"     ) \</v>
      </c>
    </row>
    <row r="526" spans="1:11" x14ac:dyDescent="0.25">
      <c r="A526" s="2" t="s">
        <v>1048</v>
      </c>
      <c r="B526" s="2" t="s">
        <v>1049</v>
      </c>
      <c r="C526" s="3" t="s">
        <v>1523</v>
      </c>
      <c r="D526" s="4" t="s">
        <v>1484</v>
      </c>
      <c r="E526" s="3" t="str">
        <f t="shared" si="34"/>
        <v xml:space="preserve">QK_MACRO_26                                  </v>
      </c>
      <c r="F526" s="3" t="s">
        <v>1472</v>
      </c>
      <c r="G526" s="3" t="str">
        <f t="shared" si="35"/>
        <v>0x771A</v>
      </c>
      <c r="H526" s="3" t="s">
        <v>1483</v>
      </c>
      <c r="I526" s="3" t="str">
        <f t="shared" si="36"/>
        <v>M26</v>
      </c>
      <c r="J526" s="5" t="s">
        <v>1482</v>
      </c>
      <c r="K526" s="2" t="str">
        <f t="shared" si="37"/>
        <v xml:space="preserve">    X (  QK_MACRO_26                                  , 0x771A,    "M26"     ) \</v>
      </c>
    </row>
    <row r="527" spans="1:11" x14ac:dyDescent="0.25">
      <c r="A527" s="2" t="s">
        <v>1050</v>
      </c>
      <c r="B527" s="2" t="s">
        <v>1051</v>
      </c>
      <c r="C527" s="3" t="s">
        <v>1524</v>
      </c>
      <c r="D527" s="4" t="s">
        <v>1484</v>
      </c>
      <c r="E527" s="3" t="str">
        <f t="shared" si="34"/>
        <v xml:space="preserve">QK_MACRO_27                                  </v>
      </c>
      <c r="F527" s="3" t="s">
        <v>1472</v>
      </c>
      <c r="G527" s="3" t="str">
        <f t="shared" si="35"/>
        <v>0x771B</v>
      </c>
      <c r="H527" s="3" t="s">
        <v>1483</v>
      </c>
      <c r="I527" s="3" t="str">
        <f t="shared" si="36"/>
        <v>M27</v>
      </c>
      <c r="J527" s="5" t="s">
        <v>1482</v>
      </c>
      <c r="K527" s="2" t="str">
        <f t="shared" si="37"/>
        <v xml:space="preserve">    X (  QK_MACRO_27                                  , 0x771B,    "M27"     ) \</v>
      </c>
    </row>
    <row r="528" spans="1:11" x14ac:dyDescent="0.25">
      <c r="A528" s="2" t="s">
        <v>1052</v>
      </c>
      <c r="B528" s="2" t="s">
        <v>1053</v>
      </c>
      <c r="C528" s="3" t="s">
        <v>1525</v>
      </c>
      <c r="D528" s="4" t="s">
        <v>1484</v>
      </c>
      <c r="E528" s="3" t="str">
        <f t="shared" si="34"/>
        <v xml:space="preserve">QK_MACRO_28                                  </v>
      </c>
      <c r="F528" s="3" t="s">
        <v>1472</v>
      </c>
      <c r="G528" s="3" t="str">
        <f t="shared" si="35"/>
        <v>0x771C</v>
      </c>
      <c r="H528" s="3" t="s">
        <v>1483</v>
      </c>
      <c r="I528" s="3" t="str">
        <f t="shared" si="36"/>
        <v>M28</v>
      </c>
      <c r="J528" s="5" t="s">
        <v>1482</v>
      </c>
      <c r="K528" s="2" t="str">
        <f t="shared" si="37"/>
        <v xml:space="preserve">    X (  QK_MACRO_28                                  , 0x771C,    "M28"     ) \</v>
      </c>
    </row>
    <row r="529" spans="1:11" x14ac:dyDescent="0.25">
      <c r="A529" s="2" t="s">
        <v>1054</v>
      </c>
      <c r="B529" s="2" t="s">
        <v>1055</v>
      </c>
      <c r="C529" s="3" t="s">
        <v>1526</v>
      </c>
      <c r="D529" s="4" t="s">
        <v>1484</v>
      </c>
      <c r="E529" s="3" t="str">
        <f t="shared" si="34"/>
        <v xml:space="preserve">QK_MACRO_29                                  </v>
      </c>
      <c r="F529" s="3" t="s">
        <v>1472</v>
      </c>
      <c r="G529" s="3" t="str">
        <f t="shared" si="35"/>
        <v>0x771D</v>
      </c>
      <c r="H529" s="3" t="s">
        <v>1483</v>
      </c>
      <c r="I529" s="3" t="str">
        <f t="shared" si="36"/>
        <v>M29</v>
      </c>
      <c r="J529" s="5" t="s">
        <v>1482</v>
      </c>
      <c r="K529" s="2" t="str">
        <f t="shared" si="37"/>
        <v xml:space="preserve">    X (  QK_MACRO_29                                  , 0x771D,    "M29"     ) \</v>
      </c>
    </row>
    <row r="530" spans="1:11" x14ac:dyDescent="0.25">
      <c r="A530" s="2" t="s">
        <v>1056</v>
      </c>
      <c r="B530" s="2" t="s">
        <v>1057</v>
      </c>
      <c r="C530" s="3" t="s">
        <v>1527</v>
      </c>
      <c r="D530" s="4" t="s">
        <v>1484</v>
      </c>
      <c r="E530" s="3" t="str">
        <f t="shared" si="34"/>
        <v xml:space="preserve">QK_MACRO_30                                  </v>
      </c>
      <c r="F530" s="3" t="s">
        <v>1472</v>
      </c>
      <c r="G530" s="3" t="str">
        <f t="shared" si="35"/>
        <v>0x771E</v>
      </c>
      <c r="H530" s="3" t="s">
        <v>1483</v>
      </c>
      <c r="I530" s="3" t="str">
        <f t="shared" si="36"/>
        <v>M30</v>
      </c>
      <c r="J530" s="5" t="s">
        <v>1482</v>
      </c>
      <c r="K530" s="2" t="str">
        <f t="shared" si="37"/>
        <v xml:space="preserve">    X (  QK_MACRO_30                                  , 0x771E,    "M30"     ) \</v>
      </c>
    </row>
    <row r="531" spans="1:11" x14ac:dyDescent="0.25">
      <c r="A531" s="2" t="s">
        <v>1058</v>
      </c>
      <c r="B531" s="2" t="s">
        <v>1059</v>
      </c>
      <c r="C531" s="3" t="s">
        <v>1528</v>
      </c>
      <c r="D531" s="4" t="s">
        <v>1484</v>
      </c>
      <c r="E531" s="3" t="str">
        <f t="shared" si="34"/>
        <v xml:space="preserve">QK_MACRO_31                                  </v>
      </c>
      <c r="F531" s="3" t="s">
        <v>1472</v>
      </c>
      <c r="G531" s="3" t="str">
        <f t="shared" si="35"/>
        <v>0x771F</v>
      </c>
      <c r="H531" s="3" t="s">
        <v>1483</v>
      </c>
      <c r="I531" s="3" t="str">
        <f t="shared" si="36"/>
        <v>M31</v>
      </c>
      <c r="J531" s="5" t="s">
        <v>1482</v>
      </c>
      <c r="K531" s="2" t="str">
        <f t="shared" si="37"/>
        <v xml:space="preserve">    X (  QK_MACRO_31                                  , 0x771F,    "M31"     ) \</v>
      </c>
    </row>
    <row r="532" spans="1:11" x14ac:dyDescent="0.25">
      <c r="A532" s="2" t="s">
        <v>1060</v>
      </c>
      <c r="B532" s="2" t="s">
        <v>1061</v>
      </c>
      <c r="D532" s="4" t="s">
        <v>1484</v>
      </c>
      <c r="E532" s="3" t="str">
        <f t="shared" si="34"/>
        <v xml:space="preserve">QK_OUTPUT_AUTO                               </v>
      </c>
      <c r="F532" s="3" t="s">
        <v>1472</v>
      </c>
      <c r="G532" s="3" t="str">
        <f t="shared" si="35"/>
        <v>0x7780</v>
      </c>
      <c r="H532" s="3" t="s">
        <v>1483</v>
      </c>
      <c r="I532" s="3" t="str">
        <f t="shared" si="36"/>
        <v/>
      </c>
      <c r="J532" s="5" t="s">
        <v>1482</v>
      </c>
      <c r="K532" s="2" t="str">
        <f t="shared" si="37"/>
        <v/>
      </c>
    </row>
    <row r="533" spans="1:11" x14ac:dyDescent="0.25">
      <c r="A533" s="2" t="s">
        <v>1062</v>
      </c>
      <c r="B533" s="2" t="s">
        <v>1063</v>
      </c>
      <c r="D533" s="4" t="s">
        <v>1484</v>
      </c>
      <c r="E533" s="3" t="str">
        <f t="shared" si="34"/>
        <v xml:space="preserve">QK_OUTPUT_NEXT                               </v>
      </c>
      <c r="F533" s="3" t="s">
        <v>1472</v>
      </c>
      <c r="G533" s="3" t="str">
        <f t="shared" si="35"/>
        <v>0x7781</v>
      </c>
      <c r="H533" s="3" t="s">
        <v>1483</v>
      </c>
      <c r="I533" s="3" t="str">
        <f t="shared" si="36"/>
        <v/>
      </c>
      <c r="J533" s="5" t="s">
        <v>1482</v>
      </c>
      <c r="K533" s="2" t="str">
        <f t="shared" si="37"/>
        <v/>
      </c>
    </row>
    <row r="534" spans="1:11" x14ac:dyDescent="0.25">
      <c r="A534" s="2" t="s">
        <v>1064</v>
      </c>
      <c r="B534" s="2" t="s">
        <v>1065</v>
      </c>
      <c r="D534" s="4" t="s">
        <v>1484</v>
      </c>
      <c r="E534" s="3" t="str">
        <f t="shared" si="34"/>
        <v xml:space="preserve">QK_OUTPUT_PREV                               </v>
      </c>
      <c r="F534" s="3" t="s">
        <v>1472</v>
      </c>
      <c r="G534" s="3" t="str">
        <f t="shared" si="35"/>
        <v>0x7782</v>
      </c>
      <c r="H534" s="3" t="s">
        <v>1483</v>
      </c>
      <c r="I534" s="3" t="str">
        <f t="shared" si="36"/>
        <v/>
      </c>
      <c r="J534" s="5" t="s">
        <v>1482</v>
      </c>
      <c r="K534" s="2" t="str">
        <f t="shared" si="37"/>
        <v/>
      </c>
    </row>
    <row r="535" spans="1:11" x14ac:dyDescent="0.25">
      <c r="A535" s="2" t="s">
        <v>1066</v>
      </c>
      <c r="B535" s="2" t="s">
        <v>1067</v>
      </c>
      <c r="D535" s="4" t="s">
        <v>1484</v>
      </c>
      <c r="E535" s="3" t="str">
        <f t="shared" si="34"/>
        <v xml:space="preserve">QK_OUTPUT_NONE                               </v>
      </c>
      <c r="F535" s="3" t="s">
        <v>1472</v>
      </c>
      <c r="G535" s="3" t="str">
        <f t="shared" si="35"/>
        <v>0x7783</v>
      </c>
      <c r="H535" s="3" t="s">
        <v>1483</v>
      </c>
      <c r="I535" s="3" t="str">
        <f t="shared" si="36"/>
        <v/>
      </c>
      <c r="J535" s="5" t="s">
        <v>1482</v>
      </c>
      <c r="K535" s="2" t="str">
        <f t="shared" si="37"/>
        <v/>
      </c>
    </row>
    <row r="536" spans="1:11" x14ac:dyDescent="0.25">
      <c r="A536" s="2" t="s">
        <v>1068</v>
      </c>
      <c r="B536" s="2" t="s">
        <v>1069</v>
      </c>
      <c r="D536" s="4" t="s">
        <v>1484</v>
      </c>
      <c r="E536" s="3" t="str">
        <f t="shared" si="34"/>
        <v xml:space="preserve">QK_OUTPUT_USB                                </v>
      </c>
      <c r="F536" s="3" t="s">
        <v>1472</v>
      </c>
      <c r="G536" s="3" t="str">
        <f t="shared" si="35"/>
        <v>0x7784</v>
      </c>
      <c r="H536" s="3" t="s">
        <v>1483</v>
      </c>
      <c r="I536" s="3" t="str">
        <f t="shared" si="36"/>
        <v/>
      </c>
      <c r="J536" s="5" t="s">
        <v>1482</v>
      </c>
      <c r="K536" s="2" t="str">
        <f t="shared" si="37"/>
        <v/>
      </c>
    </row>
    <row r="537" spans="1:11" x14ac:dyDescent="0.25">
      <c r="A537" s="2" t="s">
        <v>1070</v>
      </c>
      <c r="B537" s="2" t="s">
        <v>1071</v>
      </c>
      <c r="D537" s="4" t="s">
        <v>1484</v>
      </c>
      <c r="E537" s="3" t="str">
        <f t="shared" si="34"/>
        <v xml:space="preserve">QK_OUTPUT_2P4GHZ                             </v>
      </c>
      <c r="F537" s="3" t="s">
        <v>1472</v>
      </c>
      <c r="G537" s="3" t="str">
        <f t="shared" si="35"/>
        <v>0x7785</v>
      </c>
      <c r="H537" s="3" t="s">
        <v>1483</v>
      </c>
      <c r="I537" s="3" t="str">
        <f t="shared" si="36"/>
        <v/>
      </c>
      <c r="J537" s="5" t="s">
        <v>1482</v>
      </c>
      <c r="K537" s="2" t="str">
        <f t="shared" si="37"/>
        <v/>
      </c>
    </row>
    <row r="538" spans="1:11" x14ac:dyDescent="0.25">
      <c r="A538" s="2" t="s">
        <v>1072</v>
      </c>
      <c r="B538" s="2" t="s">
        <v>1073</v>
      </c>
      <c r="D538" s="4" t="s">
        <v>1484</v>
      </c>
      <c r="E538" s="3" t="str">
        <f t="shared" si="34"/>
        <v xml:space="preserve">QK_OUTPUT_BLUETOOTH                          </v>
      </c>
      <c r="F538" s="3" t="s">
        <v>1472</v>
      </c>
      <c r="G538" s="3" t="str">
        <f t="shared" si="35"/>
        <v>0x7786</v>
      </c>
      <c r="H538" s="3" t="s">
        <v>1483</v>
      </c>
      <c r="I538" s="3" t="str">
        <f t="shared" si="36"/>
        <v/>
      </c>
      <c r="J538" s="5" t="s">
        <v>1482</v>
      </c>
      <c r="K538" s="2" t="str">
        <f t="shared" si="37"/>
        <v/>
      </c>
    </row>
    <row r="539" spans="1:11" x14ac:dyDescent="0.25">
      <c r="A539" s="2" t="s">
        <v>1074</v>
      </c>
      <c r="B539" s="2" t="s">
        <v>1075</v>
      </c>
      <c r="D539" s="4" t="s">
        <v>1484</v>
      </c>
      <c r="E539" s="3" t="str">
        <f t="shared" si="34"/>
        <v xml:space="preserve">QK_BLUETOOTH_PROFILE_NEXT                    </v>
      </c>
      <c r="F539" s="3" t="s">
        <v>1472</v>
      </c>
      <c r="G539" s="3" t="str">
        <f t="shared" si="35"/>
        <v>0x7790</v>
      </c>
      <c r="H539" s="3" t="s">
        <v>1483</v>
      </c>
      <c r="I539" s="3" t="str">
        <f t="shared" si="36"/>
        <v/>
      </c>
      <c r="J539" s="5" t="s">
        <v>1482</v>
      </c>
      <c r="K539" s="2" t="str">
        <f t="shared" si="37"/>
        <v/>
      </c>
    </row>
    <row r="540" spans="1:11" x14ac:dyDescent="0.25">
      <c r="A540" s="2" t="s">
        <v>1076</v>
      </c>
      <c r="B540" s="2" t="s">
        <v>1077</v>
      </c>
      <c r="D540" s="4" t="s">
        <v>1484</v>
      </c>
      <c r="E540" s="3" t="str">
        <f t="shared" si="34"/>
        <v xml:space="preserve">QK_BLUETOOTH_PROFILE_PREV                    </v>
      </c>
      <c r="F540" s="3" t="s">
        <v>1472</v>
      </c>
      <c r="G540" s="3" t="str">
        <f t="shared" si="35"/>
        <v>0x7791</v>
      </c>
      <c r="H540" s="3" t="s">
        <v>1483</v>
      </c>
      <c r="I540" s="3" t="str">
        <f t="shared" si="36"/>
        <v/>
      </c>
      <c r="J540" s="5" t="s">
        <v>1482</v>
      </c>
      <c r="K540" s="2" t="str">
        <f t="shared" si="37"/>
        <v/>
      </c>
    </row>
    <row r="541" spans="1:11" x14ac:dyDescent="0.25">
      <c r="A541" s="2" t="s">
        <v>1078</v>
      </c>
      <c r="B541" s="2" t="s">
        <v>1079</v>
      </c>
      <c r="D541" s="4" t="s">
        <v>1484</v>
      </c>
      <c r="E541" s="3" t="str">
        <f t="shared" si="34"/>
        <v xml:space="preserve">QK_BLUETOOTH_UNPAIR                          </v>
      </c>
      <c r="F541" s="3" t="s">
        <v>1472</v>
      </c>
      <c r="G541" s="3" t="str">
        <f t="shared" si="35"/>
        <v>0x7792</v>
      </c>
      <c r="H541" s="3" t="s">
        <v>1483</v>
      </c>
      <c r="I541" s="3" t="str">
        <f t="shared" si="36"/>
        <v/>
      </c>
      <c r="J541" s="5" t="s">
        <v>1482</v>
      </c>
      <c r="K541" s="2" t="str">
        <f t="shared" si="37"/>
        <v/>
      </c>
    </row>
    <row r="542" spans="1:11" x14ac:dyDescent="0.25">
      <c r="A542" s="2" t="s">
        <v>1080</v>
      </c>
      <c r="B542" s="2" t="s">
        <v>1081</v>
      </c>
      <c r="D542" s="4" t="s">
        <v>1484</v>
      </c>
      <c r="E542" s="3" t="str">
        <f t="shared" si="34"/>
        <v xml:space="preserve">QK_BLUETOOTH_PROFILE1                        </v>
      </c>
      <c r="F542" s="3" t="s">
        <v>1472</v>
      </c>
      <c r="G542" s="3" t="str">
        <f t="shared" si="35"/>
        <v>0x7793</v>
      </c>
      <c r="H542" s="3" t="s">
        <v>1483</v>
      </c>
      <c r="I542" s="3" t="str">
        <f t="shared" si="36"/>
        <v/>
      </c>
      <c r="J542" s="5" t="s">
        <v>1482</v>
      </c>
      <c r="K542" s="2" t="str">
        <f t="shared" si="37"/>
        <v/>
      </c>
    </row>
    <row r="543" spans="1:11" x14ac:dyDescent="0.25">
      <c r="A543" s="2" t="s">
        <v>1082</v>
      </c>
      <c r="B543" s="2" t="s">
        <v>1083</v>
      </c>
      <c r="D543" s="4" t="s">
        <v>1484</v>
      </c>
      <c r="E543" s="3" t="str">
        <f t="shared" si="34"/>
        <v xml:space="preserve">QK_BLUETOOTH_PROFILE2                        </v>
      </c>
      <c r="F543" s="3" t="s">
        <v>1472</v>
      </c>
      <c r="G543" s="3" t="str">
        <f t="shared" si="35"/>
        <v>0x7794</v>
      </c>
      <c r="H543" s="3" t="s">
        <v>1483</v>
      </c>
      <c r="I543" s="3" t="str">
        <f t="shared" si="36"/>
        <v/>
      </c>
      <c r="J543" s="5" t="s">
        <v>1482</v>
      </c>
      <c r="K543" s="2" t="str">
        <f t="shared" si="37"/>
        <v/>
      </c>
    </row>
    <row r="544" spans="1:11" x14ac:dyDescent="0.25">
      <c r="A544" s="2" t="s">
        <v>1084</v>
      </c>
      <c r="B544" s="2" t="s">
        <v>1085</v>
      </c>
      <c r="D544" s="4" t="s">
        <v>1484</v>
      </c>
      <c r="E544" s="3" t="str">
        <f t="shared" si="34"/>
        <v xml:space="preserve">QK_BLUETOOTH_PROFILE3                        </v>
      </c>
      <c r="F544" s="3" t="s">
        <v>1472</v>
      </c>
      <c r="G544" s="3" t="str">
        <f t="shared" si="35"/>
        <v>0x7795</v>
      </c>
      <c r="H544" s="3" t="s">
        <v>1483</v>
      </c>
      <c r="I544" s="3" t="str">
        <f t="shared" si="36"/>
        <v/>
      </c>
      <c r="J544" s="5" t="s">
        <v>1482</v>
      </c>
      <c r="K544" s="2" t="str">
        <f t="shared" si="37"/>
        <v/>
      </c>
    </row>
    <row r="545" spans="1:11" x14ac:dyDescent="0.25">
      <c r="A545" s="2" t="s">
        <v>1086</v>
      </c>
      <c r="B545" s="2" t="s">
        <v>1087</v>
      </c>
      <c r="D545" s="4" t="s">
        <v>1484</v>
      </c>
      <c r="E545" s="3" t="str">
        <f t="shared" si="34"/>
        <v xml:space="preserve">QK_BLUETOOTH_PROFILE4                        </v>
      </c>
      <c r="F545" s="3" t="s">
        <v>1472</v>
      </c>
      <c r="G545" s="3" t="str">
        <f t="shared" si="35"/>
        <v>0x7796</v>
      </c>
      <c r="H545" s="3" t="s">
        <v>1483</v>
      </c>
      <c r="I545" s="3" t="str">
        <f t="shared" si="36"/>
        <v/>
      </c>
      <c r="J545" s="5" t="s">
        <v>1482</v>
      </c>
      <c r="K545" s="2" t="str">
        <f t="shared" si="37"/>
        <v/>
      </c>
    </row>
    <row r="546" spans="1:11" x14ac:dyDescent="0.25">
      <c r="A546" s="2" t="s">
        <v>1088</v>
      </c>
      <c r="B546" s="2" t="s">
        <v>1089</v>
      </c>
      <c r="D546" s="4" t="s">
        <v>1484</v>
      </c>
      <c r="E546" s="3" t="str">
        <f t="shared" si="34"/>
        <v xml:space="preserve">QK_BLUETOOTH_PROFILE5                        </v>
      </c>
      <c r="F546" s="3" t="s">
        <v>1472</v>
      </c>
      <c r="G546" s="3" t="str">
        <f t="shared" si="35"/>
        <v>0x7797</v>
      </c>
      <c r="H546" s="3" t="s">
        <v>1483</v>
      </c>
      <c r="I546" s="3" t="str">
        <f t="shared" si="36"/>
        <v/>
      </c>
      <c r="J546" s="5" t="s">
        <v>1482</v>
      </c>
      <c r="K546" s="2" t="str">
        <f t="shared" si="37"/>
        <v/>
      </c>
    </row>
    <row r="547" spans="1:11" x14ac:dyDescent="0.25">
      <c r="A547" s="2" t="s">
        <v>1090</v>
      </c>
      <c r="B547" s="2" t="s">
        <v>1091</v>
      </c>
      <c r="D547" s="4" t="s">
        <v>1484</v>
      </c>
      <c r="E547" s="3" t="str">
        <f t="shared" si="34"/>
        <v xml:space="preserve">QK_BACKLIGHT_ON                              </v>
      </c>
      <c r="F547" s="3" t="s">
        <v>1472</v>
      </c>
      <c r="G547" s="3" t="str">
        <f t="shared" si="35"/>
        <v>0x7800</v>
      </c>
      <c r="H547" s="3" t="s">
        <v>1483</v>
      </c>
      <c r="I547" s="3" t="str">
        <f t="shared" si="36"/>
        <v/>
      </c>
      <c r="J547" s="5" t="s">
        <v>1482</v>
      </c>
      <c r="K547" s="2" t="str">
        <f t="shared" si="37"/>
        <v/>
      </c>
    </row>
    <row r="548" spans="1:11" x14ac:dyDescent="0.25">
      <c r="A548" s="2" t="s">
        <v>1092</v>
      </c>
      <c r="B548" s="2" t="s">
        <v>1093</v>
      </c>
      <c r="D548" s="4" t="s">
        <v>1484</v>
      </c>
      <c r="E548" s="3" t="str">
        <f t="shared" si="34"/>
        <v xml:space="preserve">QK_BACKLIGHT_OFF                             </v>
      </c>
      <c r="F548" s="3" t="s">
        <v>1472</v>
      </c>
      <c r="G548" s="3" t="str">
        <f t="shared" si="35"/>
        <v>0x7801</v>
      </c>
      <c r="H548" s="3" t="s">
        <v>1483</v>
      </c>
      <c r="I548" s="3" t="str">
        <f t="shared" si="36"/>
        <v/>
      </c>
      <c r="J548" s="5" t="s">
        <v>1482</v>
      </c>
      <c r="K548" s="2" t="str">
        <f t="shared" si="37"/>
        <v/>
      </c>
    </row>
    <row r="549" spans="1:11" x14ac:dyDescent="0.25">
      <c r="A549" s="2" t="s">
        <v>1094</v>
      </c>
      <c r="B549" s="2" t="s">
        <v>1095</v>
      </c>
      <c r="D549" s="4" t="s">
        <v>1484</v>
      </c>
      <c r="E549" s="3" t="str">
        <f t="shared" si="34"/>
        <v xml:space="preserve">QK_BACKLIGHT_TOGGLE                          </v>
      </c>
      <c r="F549" s="3" t="s">
        <v>1472</v>
      </c>
      <c r="G549" s="3" t="str">
        <f t="shared" si="35"/>
        <v>0x7802</v>
      </c>
      <c r="H549" s="3" t="s">
        <v>1483</v>
      </c>
      <c r="I549" s="3" t="str">
        <f t="shared" si="36"/>
        <v/>
      </c>
      <c r="J549" s="5" t="s">
        <v>1482</v>
      </c>
      <c r="K549" s="2" t="str">
        <f t="shared" si="37"/>
        <v/>
      </c>
    </row>
    <row r="550" spans="1:11" x14ac:dyDescent="0.25">
      <c r="A550" s="2" t="s">
        <v>1096</v>
      </c>
      <c r="B550" s="2" t="s">
        <v>1097</v>
      </c>
      <c r="D550" s="4" t="s">
        <v>1484</v>
      </c>
      <c r="E550" s="3" t="str">
        <f t="shared" si="34"/>
        <v xml:space="preserve">QK_BACKLIGHT_DOWN                            </v>
      </c>
      <c r="F550" s="3" t="s">
        <v>1472</v>
      </c>
      <c r="G550" s="3" t="str">
        <f t="shared" si="35"/>
        <v>0x7803</v>
      </c>
      <c r="H550" s="3" t="s">
        <v>1483</v>
      </c>
      <c r="I550" s="3" t="str">
        <f t="shared" si="36"/>
        <v/>
      </c>
      <c r="J550" s="5" t="s">
        <v>1482</v>
      </c>
      <c r="K550" s="2" t="str">
        <f t="shared" si="37"/>
        <v/>
      </c>
    </row>
    <row r="551" spans="1:11" x14ac:dyDescent="0.25">
      <c r="A551" s="2" t="s">
        <v>1098</v>
      </c>
      <c r="B551" s="2" t="s">
        <v>1099</v>
      </c>
      <c r="D551" s="4" t="s">
        <v>1484</v>
      </c>
      <c r="E551" s="3" t="str">
        <f t="shared" si="34"/>
        <v xml:space="preserve">QK_BACKLIGHT_UP                              </v>
      </c>
      <c r="F551" s="3" t="s">
        <v>1472</v>
      </c>
      <c r="G551" s="3" t="str">
        <f t="shared" si="35"/>
        <v>0x7804</v>
      </c>
      <c r="H551" s="3" t="s">
        <v>1483</v>
      </c>
      <c r="I551" s="3" t="str">
        <f t="shared" si="36"/>
        <v/>
      </c>
      <c r="J551" s="5" t="s">
        <v>1482</v>
      </c>
      <c r="K551" s="2" t="str">
        <f t="shared" si="37"/>
        <v/>
      </c>
    </row>
    <row r="552" spans="1:11" x14ac:dyDescent="0.25">
      <c r="A552" s="2" t="s">
        <v>1100</v>
      </c>
      <c r="B552" s="2" t="s">
        <v>1101</v>
      </c>
      <c r="D552" s="4" t="s">
        <v>1484</v>
      </c>
      <c r="E552" s="3" t="str">
        <f t="shared" si="34"/>
        <v xml:space="preserve">QK_BACKLIGHT_STEP                            </v>
      </c>
      <c r="F552" s="3" t="s">
        <v>1472</v>
      </c>
      <c r="G552" s="3" t="str">
        <f t="shared" si="35"/>
        <v>0x7805</v>
      </c>
      <c r="H552" s="3" t="s">
        <v>1483</v>
      </c>
      <c r="I552" s="3" t="str">
        <f t="shared" si="36"/>
        <v/>
      </c>
      <c r="J552" s="5" t="s">
        <v>1482</v>
      </c>
      <c r="K552" s="2" t="str">
        <f t="shared" si="37"/>
        <v/>
      </c>
    </row>
    <row r="553" spans="1:11" x14ac:dyDescent="0.25">
      <c r="A553" s="2" t="s">
        <v>1102</v>
      </c>
      <c r="B553" s="2" t="s">
        <v>1103</v>
      </c>
      <c r="D553" s="4" t="s">
        <v>1484</v>
      </c>
      <c r="E553" s="3" t="str">
        <f t="shared" si="34"/>
        <v xml:space="preserve">QK_BACKLIGHT_TOGGLE_BREATHING                </v>
      </c>
      <c r="F553" s="3" t="s">
        <v>1472</v>
      </c>
      <c r="G553" s="3" t="str">
        <f t="shared" si="35"/>
        <v>0x7806</v>
      </c>
      <c r="H553" s="3" t="s">
        <v>1483</v>
      </c>
      <c r="I553" s="3" t="str">
        <f t="shared" si="36"/>
        <v/>
      </c>
      <c r="J553" s="5" t="s">
        <v>1482</v>
      </c>
      <c r="K553" s="2" t="str">
        <f t="shared" si="37"/>
        <v/>
      </c>
    </row>
    <row r="554" spans="1:11" x14ac:dyDescent="0.25">
      <c r="A554" s="2" t="s">
        <v>1104</v>
      </c>
      <c r="B554" s="2" t="s">
        <v>1105</v>
      </c>
      <c r="D554" s="4" t="s">
        <v>1484</v>
      </c>
      <c r="E554" s="3" t="str">
        <f t="shared" si="34"/>
        <v xml:space="preserve">QK_LED_MATRIX_ON                             </v>
      </c>
      <c r="F554" s="3" t="s">
        <v>1472</v>
      </c>
      <c r="G554" s="3" t="str">
        <f t="shared" si="35"/>
        <v>0x7810</v>
      </c>
      <c r="H554" s="3" t="s">
        <v>1483</v>
      </c>
      <c r="I554" s="3" t="str">
        <f t="shared" si="36"/>
        <v/>
      </c>
      <c r="J554" s="5" t="s">
        <v>1482</v>
      </c>
      <c r="K554" s="2" t="str">
        <f t="shared" si="37"/>
        <v/>
      </c>
    </row>
    <row r="555" spans="1:11" x14ac:dyDescent="0.25">
      <c r="A555" s="2" t="s">
        <v>1106</v>
      </c>
      <c r="B555" s="2" t="s">
        <v>1107</v>
      </c>
      <c r="D555" s="4" t="s">
        <v>1484</v>
      </c>
      <c r="E555" s="3" t="str">
        <f t="shared" si="34"/>
        <v xml:space="preserve">QK_LED_MATRIX_OFF                            </v>
      </c>
      <c r="F555" s="3" t="s">
        <v>1472</v>
      </c>
      <c r="G555" s="3" t="str">
        <f t="shared" si="35"/>
        <v>0x7811</v>
      </c>
      <c r="H555" s="3" t="s">
        <v>1483</v>
      </c>
      <c r="I555" s="3" t="str">
        <f t="shared" si="36"/>
        <v/>
      </c>
      <c r="J555" s="5" t="s">
        <v>1482</v>
      </c>
      <c r="K555" s="2" t="str">
        <f t="shared" si="37"/>
        <v/>
      </c>
    </row>
    <row r="556" spans="1:11" x14ac:dyDescent="0.25">
      <c r="A556" s="2" t="s">
        <v>1108</v>
      </c>
      <c r="B556" s="2" t="s">
        <v>1109</v>
      </c>
      <c r="D556" s="4" t="s">
        <v>1484</v>
      </c>
      <c r="E556" s="3" t="str">
        <f t="shared" si="34"/>
        <v xml:space="preserve">QK_LED_MATRIX_TOGGLE                         </v>
      </c>
      <c r="F556" s="3" t="s">
        <v>1472</v>
      </c>
      <c r="G556" s="3" t="str">
        <f t="shared" si="35"/>
        <v>0x7812</v>
      </c>
      <c r="H556" s="3" t="s">
        <v>1483</v>
      </c>
      <c r="I556" s="3" t="str">
        <f t="shared" si="36"/>
        <v/>
      </c>
      <c r="J556" s="5" t="s">
        <v>1482</v>
      </c>
      <c r="K556" s="2" t="str">
        <f t="shared" si="37"/>
        <v/>
      </c>
    </row>
    <row r="557" spans="1:11" x14ac:dyDescent="0.25">
      <c r="A557" s="2" t="s">
        <v>1110</v>
      </c>
      <c r="B557" s="2" t="s">
        <v>1111</v>
      </c>
      <c r="D557" s="4" t="s">
        <v>1484</v>
      </c>
      <c r="E557" s="3" t="str">
        <f t="shared" si="34"/>
        <v xml:space="preserve">QK_LED_MATRIX_MODE_NEXT                      </v>
      </c>
      <c r="F557" s="3" t="s">
        <v>1472</v>
      </c>
      <c r="G557" s="3" t="str">
        <f t="shared" si="35"/>
        <v>0x7813</v>
      </c>
      <c r="H557" s="3" t="s">
        <v>1483</v>
      </c>
      <c r="I557" s="3" t="str">
        <f t="shared" si="36"/>
        <v/>
      </c>
      <c r="J557" s="5" t="s">
        <v>1482</v>
      </c>
      <c r="K557" s="2" t="str">
        <f t="shared" si="37"/>
        <v/>
      </c>
    </row>
    <row r="558" spans="1:11" x14ac:dyDescent="0.25">
      <c r="A558" s="2" t="s">
        <v>1112</v>
      </c>
      <c r="B558" s="2" t="s">
        <v>1113</v>
      </c>
      <c r="D558" s="4" t="s">
        <v>1484</v>
      </c>
      <c r="E558" s="3" t="str">
        <f t="shared" si="34"/>
        <v xml:space="preserve">QK_LED_MATRIX_MODE_PREVIOUS                  </v>
      </c>
      <c r="F558" s="3" t="s">
        <v>1472</v>
      </c>
      <c r="G558" s="3" t="str">
        <f t="shared" si="35"/>
        <v>0x7814</v>
      </c>
      <c r="H558" s="3" t="s">
        <v>1483</v>
      </c>
      <c r="I558" s="3" t="str">
        <f t="shared" si="36"/>
        <v/>
      </c>
      <c r="J558" s="5" t="s">
        <v>1482</v>
      </c>
      <c r="K558" s="2" t="str">
        <f t="shared" si="37"/>
        <v/>
      </c>
    </row>
    <row r="559" spans="1:11" x14ac:dyDescent="0.25">
      <c r="A559" s="2" t="s">
        <v>1114</v>
      </c>
      <c r="B559" s="2" t="s">
        <v>1115</v>
      </c>
      <c r="D559" s="4" t="s">
        <v>1484</v>
      </c>
      <c r="E559" s="3" t="str">
        <f t="shared" si="34"/>
        <v xml:space="preserve">QK_LED_MATRIX_BRIGHTNESS_UP                  </v>
      </c>
      <c r="F559" s="3" t="s">
        <v>1472</v>
      </c>
      <c r="G559" s="3" t="str">
        <f t="shared" si="35"/>
        <v>0x7815</v>
      </c>
      <c r="H559" s="3" t="s">
        <v>1483</v>
      </c>
      <c r="I559" s="3" t="str">
        <f t="shared" si="36"/>
        <v/>
      </c>
      <c r="J559" s="5" t="s">
        <v>1482</v>
      </c>
      <c r="K559" s="2" t="str">
        <f t="shared" si="37"/>
        <v/>
      </c>
    </row>
    <row r="560" spans="1:11" x14ac:dyDescent="0.25">
      <c r="A560" s="2" t="s">
        <v>1116</v>
      </c>
      <c r="B560" s="2" t="s">
        <v>1117</v>
      </c>
      <c r="D560" s="4" t="s">
        <v>1484</v>
      </c>
      <c r="E560" s="3" t="str">
        <f t="shared" si="34"/>
        <v xml:space="preserve">QK_LED_MATRIX_BRIGHTNESS_DOWN                </v>
      </c>
      <c r="F560" s="3" t="s">
        <v>1472</v>
      </c>
      <c r="G560" s="3" t="str">
        <f t="shared" si="35"/>
        <v>0x7816</v>
      </c>
      <c r="H560" s="3" t="s">
        <v>1483</v>
      </c>
      <c r="I560" s="3" t="str">
        <f t="shared" si="36"/>
        <v/>
      </c>
      <c r="J560" s="5" t="s">
        <v>1482</v>
      </c>
      <c r="K560" s="2" t="str">
        <f t="shared" si="37"/>
        <v/>
      </c>
    </row>
    <row r="561" spans="1:11" x14ac:dyDescent="0.25">
      <c r="A561" s="2" t="s">
        <v>1118</v>
      </c>
      <c r="B561" s="2" t="s">
        <v>1119</v>
      </c>
      <c r="D561" s="4" t="s">
        <v>1484</v>
      </c>
      <c r="E561" s="3" t="str">
        <f t="shared" si="34"/>
        <v xml:space="preserve">QK_LED_MATRIX_SPEED_UP                       </v>
      </c>
      <c r="F561" s="3" t="s">
        <v>1472</v>
      </c>
      <c r="G561" s="3" t="str">
        <f t="shared" si="35"/>
        <v>0x7817</v>
      </c>
      <c r="H561" s="3" t="s">
        <v>1483</v>
      </c>
      <c r="I561" s="3" t="str">
        <f t="shared" si="36"/>
        <v/>
      </c>
      <c r="J561" s="5" t="s">
        <v>1482</v>
      </c>
      <c r="K561" s="2" t="str">
        <f t="shared" si="37"/>
        <v/>
      </c>
    </row>
    <row r="562" spans="1:11" x14ac:dyDescent="0.25">
      <c r="A562" s="2" t="s">
        <v>1120</v>
      </c>
      <c r="B562" s="2" t="s">
        <v>1121</v>
      </c>
      <c r="D562" s="4" t="s">
        <v>1484</v>
      </c>
      <c r="E562" s="3" t="str">
        <f t="shared" si="34"/>
        <v xml:space="preserve">QK_LED_MATRIX_SPEED_DOWN                     </v>
      </c>
      <c r="F562" s="3" t="s">
        <v>1472</v>
      </c>
      <c r="G562" s="3" t="str">
        <f t="shared" si="35"/>
        <v>0x7818</v>
      </c>
      <c r="H562" s="3" t="s">
        <v>1483</v>
      </c>
      <c r="I562" s="3" t="str">
        <f t="shared" si="36"/>
        <v/>
      </c>
      <c r="J562" s="5" t="s">
        <v>1482</v>
      </c>
      <c r="K562" s="2" t="str">
        <f t="shared" si="37"/>
        <v/>
      </c>
    </row>
    <row r="563" spans="1:11" x14ac:dyDescent="0.25">
      <c r="A563" s="2" t="s">
        <v>1122</v>
      </c>
      <c r="B563" s="2" t="s">
        <v>1123</v>
      </c>
      <c r="D563" s="4" t="s">
        <v>1484</v>
      </c>
      <c r="E563" s="3" t="str">
        <f t="shared" si="34"/>
        <v xml:space="preserve">QK_LED_MATRIX_FLAG_NEXT                      </v>
      </c>
      <c r="F563" s="3" t="s">
        <v>1472</v>
      </c>
      <c r="G563" s="3" t="str">
        <f t="shared" si="35"/>
        <v>0x7819</v>
      </c>
      <c r="H563" s="3" t="s">
        <v>1483</v>
      </c>
      <c r="I563" s="3" t="str">
        <f t="shared" si="36"/>
        <v/>
      </c>
      <c r="J563" s="5" t="s">
        <v>1482</v>
      </c>
      <c r="K563" s="2" t="str">
        <f t="shared" si="37"/>
        <v/>
      </c>
    </row>
    <row r="564" spans="1:11" x14ac:dyDescent="0.25">
      <c r="A564" s="2" t="s">
        <v>1124</v>
      </c>
      <c r="B564" s="2" t="s">
        <v>1125</v>
      </c>
      <c r="D564" s="4" t="s">
        <v>1484</v>
      </c>
      <c r="E564" s="3" t="str">
        <f t="shared" si="34"/>
        <v xml:space="preserve">QK_LED_MATRIX_FLAG_PREVIOUS                  </v>
      </c>
      <c r="F564" s="3" t="s">
        <v>1472</v>
      </c>
      <c r="G564" s="3" t="str">
        <f t="shared" si="35"/>
        <v>0x781A</v>
      </c>
      <c r="H564" s="3" t="s">
        <v>1483</v>
      </c>
      <c r="I564" s="3" t="str">
        <f t="shared" si="36"/>
        <v/>
      </c>
      <c r="J564" s="5" t="s">
        <v>1482</v>
      </c>
      <c r="K564" s="2" t="str">
        <f t="shared" si="37"/>
        <v/>
      </c>
    </row>
    <row r="565" spans="1:11" x14ac:dyDescent="0.25">
      <c r="A565" s="2" t="s">
        <v>1126</v>
      </c>
      <c r="B565" s="2" t="s">
        <v>1127</v>
      </c>
      <c r="D565" s="4" t="s">
        <v>1484</v>
      </c>
      <c r="E565" s="3" t="str">
        <f t="shared" si="34"/>
        <v xml:space="preserve">QK_UNDERGLOW_TOGGLE                          </v>
      </c>
      <c r="F565" s="3" t="s">
        <v>1472</v>
      </c>
      <c r="G565" s="3" t="str">
        <f t="shared" si="35"/>
        <v>0x7820</v>
      </c>
      <c r="H565" s="3" t="s">
        <v>1483</v>
      </c>
      <c r="I565" s="3" t="str">
        <f t="shared" si="36"/>
        <v/>
      </c>
      <c r="J565" s="5" t="s">
        <v>1482</v>
      </c>
      <c r="K565" s="2" t="str">
        <f t="shared" si="37"/>
        <v/>
      </c>
    </row>
    <row r="566" spans="1:11" x14ac:dyDescent="0.25">
      <c r="A566" s="2" t="s">
        <v>1128</v>
      </c>
      <c r="B566" s="2" t="s">
        <v>1129</v>
      </c>
      <c r="D566" s="4" t="s">
        <v>1484</v>
      </c>
      <c r="E566" s="3" t="str">
        <f t="shared" si="34"/>
        <v xml:space="preserve">QK_UNDERGLOW_MODE_NEXT                       </v>
      </c>
      <c r="F566" s="3" t="s">
        <v>1472</v>
      </c>
      <c r="G566" s="3" t="str">
        <f t="shared" si="35"/>
        <v>0x7821</v>
      </c>
      <c r="H566" s="3" t="s">
        <v>1483</v>
      </c>
      <c r="I566" s="3" t="str">
        <f t="shared" si="36"/>
        <v/>
      </c>
      <c r="J566" s="5" t="s">
        <v>1482</v>
      </c>
      <c r="K566" s="2" t="str">
        <f t="shared" si="37"/>
        <v/>
      </c>
    </row>
    <row r="567" spans="1:11" x14ac:dyDescent="0.25">
      <c r="A567" s="2" t="s">
        <v>1130</v>
      </c>
      <c r="B567" s="2" t="s">
        <v>1131</v>
      </c>
      <c r="D567" s="4" t="s">
        <v>1484</v>
      </c>
      <c r="E567" s="3" t="str">
        <f t="shared" si="34"/>
        <v xml:space="preserve">QK_UNDERGLOW_MODE_PREVIOUS                   </v>
      </c>
      <c r="F567" s="3" t="s">
        <v>1472</v>
      </c>
      <c r="G567" s="3" t="str">
        <f t="shared" si="35"/>
        <v>0x7822</v>
      </c>
      <c r="H567" s="3" t="s">
        <v>1483</v>
      </c>
      <c r="I567" s="3" t="str">
        <f t="shared" si="36"/>
        <v/>
      </c>
      <c r="J567" s="5" t="s">
        <v>1482</v>
      </c>
      <c r="K567" s="2" t="str">
        <f t="shared" si="37"/>
        <v/>
      </c>
    </row>
    <row r="568" spans="1:11" x14ac:dyDescent="0.25">
      <c r="A568" s="2" t="s">
        <v>1132</v>
      </c>
      <c r="B568" s="2" t="s">
        <v>1133</v>
      </c>
      <c r="D568" s="4" t="s">
        <v>1484</v>
      </c>
      <c r="E568" s="3" t="str">
        <f t="shared" si="34"/>
        <v xml:space="preserve">QK_UNDERGLOW_HUE_UP                          </v>
      </c>
      <c r="F568" s="3" t="s">
        <v>1472</v>
      </c>
      <c r="G568" s="3" t="str">
        <f t="shared" si="35"/>
        <v>0x7823</v>
      </c>
      <c r="H568" s="3" t="s">
        <v>1483</v>
      </c>
      <c r="I568" s="3" t="str">
        <f t="shared" si="36"/>
        <v/>
      </c>
      <c r="J568" s="5" t="s">
        <v>1482</v>
      </c>
      <c r="K568" s="2" t="str">
        <f t="shared" si="37"/>
        <v/>
      </c>
    </row>
    <row r="569" spans="1:11" x14ac:dyDescent="0.25">
      <c r="A569" s="2" t="s">
        <v>1134</v>
      </c>
      <c r="B569" s="2" t="s">
        <v>1135</v>
      </c>
      <c r="D569" s="4" t="s">
        <v>1484</v>
      </c>
      <c r="E569" s="3" t="str">
        <f t="shared" si="34"/>
        <v xml:space="preserve">QK_UNDERGLOW_HUE_DOWN                        </v>
      </c>
      <c r="F569" s="3" t="s">
        <v>1472</v>
      </c>
      <c r="G569" s="3" t="str">
        <f t="shared" si="35"/>
        <v>0x7824</v>
      </c>
      <c r="H569" s="3" t="s">
        <v>1483</v>
      </c>
      <c r="I569" s="3" t="str">
        <f t="shared" si="36"/>
        <v/>
      </c>
      <c r="J569" s="5" t="s">
        <v>1482</v>
      </c>
      <c r="K569" s="2" t="str">
        <f t="shared" si="37"/>
        <v/>
      </c>
    </row>
    <row r="570" spans="1:11" x14ac:dyDescent="0.25">
      <c r="A570" s="2" t="s">
        <v>1136</v>
      </c>
      <c r="B570" s="2" t="s">
        <v>1137</v>
      </c>
      <c r="D570" s="4" t="s">
        <v>1484</v>
      </c>
      <c r="E570" s="3" t="str">
        <f t="shared" si="34"/>
        <v xml:space="preserve">QK_UNDERGLOW_SATURATION_UP                   </v>
      </c>
      <c r="F570" s="3" t="s">
        <v>1472</v>
      </c>
      <c r="G570" s="3" t="str">
        <f t="shared" si="35"/>
        <v>0x7825</v>
      </c>
      <c r="H570" s="3" t="s">
        <v>1483</v>
      </c>
      <c r="I570" s="3" t="str">
        <f t="shared" si="36"/>
        <v/>
      </c>
      <c r="J570" s="5" t="s">
        <v>1482</v>
      </c>
      <c r="K570" s="2" t="str">
        <f t="shared" si="37"/>
        <v/>
      </c>
    </row>
    <row r="571" spans="1:11" x14ac:dyDescent="0.25">
      <c r="A571" s="2" t="s">
        <v>1138</v>
      </c>
      <c r="B571" s="2" t="s">
        <v>1139</v>
      </c>
      <c r="D571" s="4" t="s">
        <v>1484</v>
      </c>
      <c r="E571" s="3" t="str">
        <f t="shared" si="34"/>
        <v xml:space="preserve">QK_UNDERGLOW_SATURATION_DOWN                 </v>
      </c>
      <c r="F571" s="3" t="s">
        <v>1472</v>
      </c>
      <c r="G571" s="3" t="str">
        <f t="shared" si="35"/>
        <v>0x7826</v>
      </c>
      <c r="H571" s="3" t="s">
        <v>1483</v>
      </c>
      <c r="I571" s="3" t="str">
        <f t="shared" si="36"/>
        <v/>
      </c>
      <c r="J571" s="5" t="s">
        <v>1482</v>
      </c>
      <c r="K571" s="2" t="str">
        <f t="shared" si="37"/>
        <v/>
      </c>
    </row>
    <row r="572" spans="1:11" x14ac:dyDescent="0.25">
      <c r="A572" s="2" t="s">
        <v>1140</v>
      </c>
      <c r="B572" s="2" t="s">
        <v>1141</v>
      </c>
      <c r="D572" s="4" t="s">
        <v>1484</v>
      </c>
      <c r="E572" s="3" t="str">
        <f t="shared" si="34"/>
        <v xml:space="preserve">QK_UNDERGLOW_VALUE_UP                        </v>
      </c>
      <c r="F572" s="3" t="s">
        <v>1472</v>
      </c>
      <c r="G572" s="3" t="str">
        <f t="shared" si="35"/>
        <v>0x7827</v>
      </c>
      <c r="H572" s="3" t="s">
        <v>1483</v>
      </c>
      <c r="I572" s="3" t="str">
        <f t="shared" si="36"/>
        <v/>
      </c>
      <c r="J572" s="5" t="s">
        <v>1482</v>
      </c>
      <c r="K572" s="2" t="str">
        <f t="shared" si="37"/>
        <v/>
      </c>
    </row>
    <row r="573" spans="1:11" x14ac:dyDescent="0.25">
      <c r="A573" s="2" t="s">
        <v>1142</v>
      </c>
      <c r="B573" s="2" t="s">
        <v>1143</v>
      </c>
      <c r="D573" s="4" t="s">
        <v>1484</v>
      </c>
      <c r="E573" s="3" t="str">
        <f t="shared" si="34"/>
        <v xml:space="preserve">QK_UNDERGLOW_VALUE_DOWN                      </v>
      </c>
      <c r="F573" s="3" t="s">
        <v>1472</v>
      </c>
      <c r="G573" s="3" t="str">
        <f t="shared" si="35"/>
        <v>0x7828</v>
      </c>
      <c r="H573" s="3" t="s">
        <v>1483</v>
      </c>
      <c r="I573" s="3" t="str">
        <f t="shared" si="36"/>
        <v/>
      </c>
      <c r="J573" s="5" t="s">
        <v>1482</v>
      </c>
      <c r="K573" s="2" t="str">
        <f t="shared" si="37"/>
        <v/>
      </c>
    </row>
    <row r="574" spans="1:11" x14ac:dyDescent="0.25">
      <c r="A574" s="2" t="s">
        <v>1144</v>
      </c>
      <c r="B574" s="2" t="s">
        <v>1145</v>
      </c>
      <c r="D574" s="4" t="s">
        <v>1484</v>
      </c>
      <c r="E574" s="3" t="str">
        <f t="shared" si="34"/>
        <v xml:space="preserve">QK_UNDERGLOW_SPEED_UP                        </v>
      </c>
      <c r="F574" s="3" t="s">
        <v>1472</v>
      </c>
      <c r="G574" s="3" t="str">
        <f t="shared" si="35"/>
        <v>0x7829</v>
      </c>
      <c r="H574" s="3" t="s">
        <v>1483</v>
      </c>
      <c r="I574" s="3" t="str">
        <f t="shared" si="36"/>
        <v/>
      </c>
      <c r="J574" s="5" t="s">
        <v>1482</v>
      </c>
      <c r="K574" s="2" t="str">
        <f t="shared" si="37"/>
        <v/>
      </c>
    </row>
    <row r="575" spans="1:11" x14ac:dyDescent="0.25">
      <c r="A575" s="2" t="s">
        <v>1146</v>
      </c>
      <c r="B575" s="2" t="s">
        <v>1147</v>
      </c>
      <c r="D575" s="4" t="s">
        <v>1484</v>
      </c>
      <c r="E575" s="3" t="str">
        <f t="shared" si="34"/>
        <v xml:space="preserve">QK_UNDERGLOW_SPEED_DOWN                      </v>
      </c>
      <c r="F575" s="3" t="s">
        <v>1472</v>
      </c>
      <c r="G575" s="3" t="str">
        <f t="shared" si="35"/>
        <v>0x782A</v>
      </c>
      <c r="H575" s="3" t="s">
        <v>1483</v>
      </c>
      <c r="I575" s="3" t="str">
        <f t="shared" si="36"/>
        <v/>
      </c>
      <c r="J575" s="5" t="s">
        <v>1482</v>
      </c>
      <c r="K575" s="2" t="str">
        <f t="shared" si="37"/>
        <v/>
      </c>
    </row>
    <row r="576" spans="1:11" x14ac:dyDescent="0.25">
      <c r="A576" s="2" t="s">
        <v>1148</v>
      </c>
      <c r="B576" s="2" t="s">
        <v>1149</v>
      </c>
      <c r="D576" s="4" t="s">
        <v>1484</v>
      </c>
      <c r="E576" s="3" t="str">
        <f t="shared" si="34"/>
        <v xml:space="preserve">RGB_MODE_PLAIN                               </v>
      </c>
      <c r="F576" s="3" t="s">
        <v>1472</v>
      </c>
      <c r="G576" s="3" t="str">
        <f t="shared" si="35"/>
        <v>0x782B</v>
      </c>
      <c r="H576" s="3" t="s">
        <v>1483</v>
      </c>
      <c r="I576" s="3" t="str">
        <f t="shared" si="36"/>
        <v/>
      </c>
      <c r="J576" s="5" t="s">
        <v>1482</v>
      </c>
      <c r="K576" s="2" t="str">
        <f t="shared" si="37"/>
        <v/>
      </c>
    </row>
    <row r="577" spans="1:11" x14ac:dyDescent="0.25">
      <c r="A577" s="2" t="s">
        <v>1150</v>
      </c>
      <c r="B577" s="2" t="s">
        <v>1151</v>
      </c>
      <c r="D577" s="4" t="s">
        <v>1484</v>
      </c>
      <c r="E577" s="3" t="str">
        <f t="shared" si="34"/>
        <v xml:space="preserve">RGB_MODE_BREATHE                             </v>
      </c>
      <c r="F577" s="3" t="s">
        <v>1472</v>
      </c>
      <c r="G577" s="3" t="str">
        <f t="shared" si="35"/>
        <v>0x782C</v>
      </c>
      <c r="H577" s="3" t="s">
        <v>1483</v>
      </c>
      <c r="I577" s="3" t="str">
        <f t="shared" si="36"/>
        <v/>
      </c>
      <c r="J577" s="5" t="s">
        <v>1482</v>
      </c>
      <c r="K577" s="2" t="str">
        <f t="shared" si="37"/>
        <v/>
      </c>
    </row>
    <row r="578" spans="1:11" x14ac:dyDescent="0.25">
      <c r="A578" s="2" t="s">
        <v>1152</v>
      </c>
      <c r="B578" s="2" t="s">
        <v>1153</v>
      </c>
      <c r="D578" s="4" t="s">
        <v>1484</v>
      </c>
      <c r="E578" s="3" t="str">
        <f t="shared" si="34"/>
        <v xml:space="preserve">RGB_MODE_RAINBOW                             </v>
      </c>
      <c r="F578" s="3" t="s">
        <v>1472</v>
      </c>
      <c r="G578" s="3" t="str">
        <f t="shared" si="35"/>
        <v>0x782D</v>
      </c>
      <c r="H578" s="3" t="s">
        <v>1483</v>
      </c>
      <c r="I578" s="3" t="str">
        <f t="shared" si="36"/>
        <v/>
      </c>
      <c r="J578" s="5" t="s">
        <v>1482</v>
      </c>
      <c r="K578" s="2" t="str">
        <f t="shared" si="37"/>
        <v/>
      </c>
    </row>
    <row r="579" spans="1:11" x14ac:dyDescent="0.25">
      <c r="A579" s="2" t="s">
        <v>1154</v>
      </c>
      <c r="B579" s="2" t="s">
        <v>1155</v>
      </c>
      <c r="D579" s="4" t="s">
        <v>1484</v>
      </c>
      <c r="E579" s="3" t="str">
        <f t="shared" ref="E579:E642" si="38">LEFT(A579 &amp; REPT(" ",$E$1),$E$1)</f>
        <v xml:space="preserve">RGB_MODE_SWIRL                               </v>
      </c>
      <c r="F579" s="3" t="s">
        <v>1472</v>
      </c>
      <c r="G579" s="3" t="str">
        <f t="shared" ref="G579:G642" si="39">B579</f>
        <v>0x782E</v>
      </c>
      <c r="H579" s="3" t="s">
        <v>1483</v>
      </c>
      <c r="I579" s="3" t="str">
        <f t="shared" ref="I579:I642" si="40">IF(C579="","",C579)</f>
        <v/>
      </c>
      <c r="J579" s="5" t="s">
        <v>1482</v>
      </c>
      <c r="K579" s="2" t="str">
        <f t="shared" ref="K579:K642" si="41">IF(I579="","",_xlfn.CONCAT(D579:J579))</f>
        <v/>
      </c>
    </row>
    <row r="580" spans="1:11" x14ac:dyDescent="0.25">
      <c r="A580" s="2" t="s">
        <v>1156</v>
      </c>
      <c r="B580" s="2" t="s">
        <v>1157</v>
      </c>
      <c r="D580" s="4" t="s">
        <v>1484</v>
      </c>
      <c r="E580" s="3" t="str">
        <f t="shared" si="38"/>
        <v xml:space="preserve">RGB_MODE_SNAKE                               </v>
      </c>
      <c r="F580" s="3" t="s">
        <v>1472</v>
      </c>
      <c r="G580" s="3" t="str">
        <f t="shared" si="39"/>
        <v>0x782F</v>
      </c>
      <c r="H580" s="3" t="s">
        <v>1483</v>
      </c>
      <c r="I580" s="3" t="str">
        <f t="shared" si="40"/>
        <v/>
      </c>
      <c r="J580" s="5" t="s">
        <v>1482</v>
      </c>
      <c r="K580" s="2" t="str">
        <f t="shared" si="41"/>
        <v/>
      </c>
    </row>
    <row r="581" spans="1:11" x14ac:dyDescent="0.25">
      <c r="A581" s="2" t="s">
        <v>1158</v>
      </c>
      <c r="B581" s="2" t="s">
        <v>1159</v>
      </c>
      <c r="D581" s="4" t="s">
        <v>1484</v>
      </c>
      <c r="E581" s="3" t="str">
        <f t="shared" si="38"/>
        <v xml:space="preserve">RGB_MODE_KNIGHT                              </v>
      </c>
      <c r="F581" s="3" t="s">
        <v>1472</v>
      </c>
      <c r="G581" s="3" t="str">
        <f t="shared" si="39"/>
        <v>0x7830</v>
      </c>
      <c r="H581" s="3" t="s">
        <v>1483</v>
      </c>
      <c r="I581" s="3" t="str">
        <f t="shared" si="40"/>
        <v/>
      </c>
      <c r="J581" s="5" t="s">
        <v>1482</v>
      </c>
      <c r="K581" s="2" t="str">
        <f t="shared" si="41"/>
        <v/>
      </c>
    </row>
    <row r="582" spans="1:11" x14ac:dyDescent="0.25">
      <c r="A582" s="2" t="s">
        <v>1160</v>
      </c>
      <c r="B582" s="2" t="s">
        <v>1161</v>
      </c>
      <c r="D582" s="4" t="s">
        <v>1484</v>
      </c>
      <c r="E582" s="3" t="str">
        <f t="shared" si="38"/>
        <v xml:space="preserve">RGB_MODE_XMAS                                </v>
      </c>
      <c r="F582" s="3" t="s">
        <v>1472</v>
      </c>
      <c r="G582" s="3" t="str">
        <f t="shared" si="39"/>
        <v>0x7831</v>
      </c>
      <c r="H582" s="3" t="s">
        <v>1483</v>
      </c>
      <c r="I582" s="3" t="str">
        <f t="shared" si="40"/>
        <v/>
      </c>
      <c r="J582" s="5" t="s">
        <v>1482</v>
      </c>
      <c r="K582" s="2" t="str">
        <f t="shared" si="41"/>
        <v/>
      </c>
    </row>
    <row r="583" spans="1:11" x14ac:dyDescent="0.25">
      <c r="A583" s="2" t="s">
        <v>1162</v>
      </c>
      <c r="B583" s="2" t="s">
        <v>1163</v>
      </c>
      <c r="D583" s="4" t="s">
        <v>1484</v>
      </c>
      <c r="E583" s="3" t="str">
        <f t="shared" si="38"/>
        <v xml:space="preserve">RGB_MODE_GRADIENT                            </v>
      </c>
      <c r="F583" s="3" t="s">
        <v>1472</v>
      </c>
      <c r="G583" s="3" t="str">
        <f t="shared" si="39"/>
        <v>0x7832</v>
      </c>
      <c r="H583" s="3" t="s">
        <v>1483</v>
      </c>
      <c r="I583" s="3" t="str">
        <f t="shared" si="40"/>
        <v/>
      </c>
      <c r="J583" s="5" t="s">
        <v>1482</v>
      </c>
      <c r="K583" s="2" t="str">
        <f t="shared" si="41"/>
        <v/>
      </c>
    </row>
    <row r="584" spans="1:11" x14ac:dyDescent="0.25">
      <c r="A584" s="2" t="s">
        <v>1164</v>
      </c>
      <c r="B584" s="2" t="s">
        <v>1165</v>
      </c>
      <c r="D584" s="4" t="s">
        <v>1484</v>
      </c>
      <c r="E584" s="3" t="str">
        <f t="shared" si="38"/>
        <v xml:space="preserve">RGB_MODE_RGBTEST                             </v>
      </c>
      <c r="F584" s="3" t="s">
        <v>1472</v>
      </c>
      <c r="G584" s="3" t="str">
        <f t="shared" si="39"/>
        <v>0x7833</v>
      </c>
      <c r="H584" s="3" t="s">
        <v>1483</v>
      </c>
      <c r="I584" s="3" t="str">
        <f t="shared" si="40"/>
        <v/>
      </c>
      <c r="J584" s="5" t="s">
        <v>1482</v>
      </c>
      <c r="K584" s="2" t="str">
        <f t="shared" si="41"/>
        <v/>
      </c>
    </row>
    <row r="585" spans="1:11" x14ac:dyDescent="0.25">
      <c r="A585" s="2" t="s">
        <v>1166</v>
      </c>
      <c r="B585" s="2" t="s">
        <v>1167</v>
      </c>
      <c r="D585" s="4" t="s">
        <v>1484</v>
      </c>
      <c r="E585" s="3" t="str">
        <f t="shared" si="38"/>
        <v xml:space="preserve">RGB_MODE_TWINKLE                             </v>
      </c>
      <c r="F585" s="3" t="s">
        <v>1472</v>
      </c>
      <c r="G585" s="3" t="str">
        <f t="shared" si="39"/>
        <v>0x7834</v>
      </c>
      <c r="H585" s="3" t="s">
        <v>1483</v>
      </c>
      <c r="I585" s="3" t="str">
        <f t="shared" si="40"/>
        <v/>
      </c>
      <c r="J585" s="5" t="s">
        <v>1482</v>
      </c>
      <c r="K585" s="2" t="str">
        <f t="shared" si="41"/>
        <v/>
      </c>
    </row>
    <row r="586" spans="1:11" x14ac:dyDescent="0.25">
      <c r="A586" s="2" t="s">
        <v>1168</v>
      </c>
      <c r="B586" s="2" t="s">
        <v>1169</v>
      </c>
      <c r="D586" s="4" t="s">
        <v>1484</v>
      </c>
      <c r="E586" s="3" t="str">
        <f t="shared" si="38"/>
        <v xml:space="preserve">QK_RGB_MATRIX_ON                             </v>
      </c>
      <c r="F586" s="3" t="s">
        <v>1472</v>
      </c>
      <c r="G586" s="3" t="str">
        <f t="shared" si="39"/>
        <v>0x7840</v>
      </c>
      <c r="H586" s="3" t="s">
        <v>1483</v>
      </c>
      <c r="I586" s="3" t="str">
        <f t="shared" si="40"/>
        <v/>
      </c>
      <c r="J586" s="5" t="s">
        <v>1482</v>
      </c>
      <c r="K586" s="2" t="str">
        <f t="shared" si="41"/>
        <v/>
      </c>
    </row>
    <row r="587" spans="1:11" x14ac:dyDescent="0.25">
      <c r="A587" s="2" t="s">
        <v>1170</v>
      </c>
      <c r="B587" s="2" t="s">
        <v>1171</v>
      </c>
      <c r="D587" s="4" t="s">
        <v>1484</v>
      </c>
      <c r="E587" s="3" t="str">
        <f t="shared" si="38"/>
        <v xml:space="preserve">QK_RGB_MATRIX_OFF                            </v>
      </c>
      <c r="F587" s="3" t="s">
        <v>1472</v>
      </c>
      <c r="G587" s="3" t="str">
        <f t="shared" si="39"/>
        <v>0x7841</v>
      </c>
      <c r="H587" s="3" t="s">
        <v>1483</v>
      </c>
      <c r="I587" s="3" t="str">
        <f t="shared" si="40"/>
        <v/>
      </c>
      <c r="J587" s="5" t="s">
        <v>1482</v>
      </c>
      <c r="K587" s="2" t="str">
        <f t="shared" si="41"/>
        <v/>
      </c>
    </row>
    <row r="588" spans="1:11" x14ac:dyDescent="0.25">
      <c r="A588" s="2" t="s">
        <v>1172</v>
      </c>
      <c r="B588" s="2" t="s">
        <v>1173</v>
      </c>
      <c r="C588" s="3" t="s">
        <v>1604</v>
      </c>
      <c r="D588" s="4" t="s">
        <v>1484</v>
      </c>
      <c r="E588" s="3" t="str">
        <f t="shared" si="38"/>
        <v xml:space="preserve">QK_RGB_MATRIX_TOGGLE                         </v>
      </c>
      <c r="F588" s="3" t="s">
        <v>1472</v>
      </c>
      <c r="G588" s="3" t="str">
        <f t="shared" si="39"/>
        <v>0x7842</v>
      </c>
      <c r="H588" s="3" t="s">
        <v>1483</v>
      </c>
      <c r="I588" s="3" t="str">
        <f t="shared" si="40"/>
        <v>RGB</v>
      </c>
      <c r="J588" s="5" t="s">
        <v>1482</v>
      </c>
      <c r="K588" s="2" t="str">
        <f t="shared" si="41"/>
        <v xml:space="preserve">    X (  QK_RGB_MATRIX_TOGGLE                         , 0x7842,    "RGB"     ) \</v>
      </c>
    </row>
    <row r="589" spans="1:11" x14ac:dyDescent="0.25">
      <c r="A589" s="2" t="s">
        <v>1174</v>
      </c>
      <c r="B589" s="2" t="s">
        <v>1175</v>
      </c>
      <c r="C589" s="3" t="s">
        <v>1636</v>
      </c>
      <c r="D589" s="4" t="s">
        <v>1484</v>
      </c>
      <c r="E589" s="3" t="str">
        <f t="shared" si="38"/>
        <v xml:space="preserve">QK_RGB_MATRIX_MODE_NEXT                      </v>
      </c>
      <c r="F589" s="3" t="s">
        <v>1472</v>
      </c>
      <c r="G589" s="3" t="str">
        <f t="shared" si="39"/>
        <v>0x7843</v>
      </c>
      <c r="H589" s="3" t="s">
        <v>1483</v>
      </c>
      <c r="I589" s="3" t="str">
        <f t="shared" si="40"/>
        <v>Eff &gt;</v>
      </c>
      <c r="J589" s="5" t="s">
        <v>1482</v>
      </c>
      <c r="K589" s="2" t="str">
        <f t="shared" si="41"/>
        <v xml:space="preserve">    X (  QK_RGB_MATRIX_MODE_NEXT                      , 0x7843,    "Eff &gt;"     ) \</v>
      </c>
    </row>
    <row r="590" spans="1:11" x14ac:dyDescent="0.25">
      <c r="A590" s="2" t="s">
        <v>1176</v>
      </c>
      <c r="B590" s="2" t="s">
        <v>1177</v>
      </c>
      <c r="C590" s="3" t="s">
        <v>1637</v>
      </c>
      <c r="D590" s="4" t="s">
        <v>1484</v>
      </c>
      <c r="E590" s="3" t="str">
        <f t="shared" si="38"/>
        <v xml:space="preserve">QK_RGB_MATRIX_MODE_PREVIOUS                  </v>
      </c>
      <c r="F590" s="3" t="s">
        <v>1472</v>
      </c>
      <c r="G590" s="3" t="str">
        <f t="shared" si="39"/>
        <v>0x7844</v>
      </c>
      <c r="H590" s="3" t="s">
        <v>1483</v>
      </c>
      <c r="I590" s="3" t="str">
        <f t="shared" si="40"/>
        <v>&lt; Eff</v>
      </c>
      <c r="J590" s="5" t="s">
        <v>1482</v>
      </c>
      <c r="K590" s="2" t="str">
        <f t="shared" si="41"/>
        <v xml:space="preserve">    X (  QK_RGB_MATRIX_MODE_PREVIOUS                  , 0x7844,    "&lt; Eff"     ) \</v>
      </c>
    </row>
    <row r="591" spans="1:11" x14ac:dyDescent="0.25">
      <c r="A591" s="2" t="s">
        <v>1178</v>
      </c>
      <c r="B591" s="2" t="s">
        <v>1179</v>
      </c>
      <c r="C591" s="3" t="s">
        <v>1605</v>
      </c>
      <c r="D591" s="4" t="s">
        <v>1484</v>
      </c>
      <c r="E591" s="3" t="str">
        <f t="shared" si="38"/>
        <v xml:space="preserve">QK_RGB_MATRIX_HUE_UP                         </v>
      </c>
      <c r="F591" s="3" t="s">
        <v>1472</v>
      </c>
      <c r="G591" s="3" t="str">
        <f t="shared" si="39"/>
        <v>0x7845</v>
      </c>
      <c r="H591" s="3" t="s">
        <v>1483</v>
      </c>
      <c r="I591" s="3" t="str">
        <f t="shared" si="40"/>
        <v>C&gt;</v>
      </c>
      <c r="J591" s="5" t="s">
        <v>1482</v>
      </c>
      <c r="K591" s="2" t="str">
        <f t="shared" si="41"/>
        <v xml:space="preserve">    X (  QK_RGB_MATRIX_HUE_UP                         , 0x7845,    "C&gt;"     ) \</v>
      </c>
    </row>
    <row r="592" spans="1:11" x14ac:dyDescent="0.25">
      <c r="A592" s="2" t="s">
        <v>1180</v>
      </c>
      <c r="B592" s="2" t="s">
        <v>1181</v>
      </c>
      <c r="C592" s="3" t="s">
        <v>1606</v>
      </c>
      <c r="D592" s="4" t="s">
        <v>1484</v>
      </c>
      <c r="E592" s="3" t="str">
        <f t="shared" si="38"/>
        <v xml:space="preserve">QK_RGB_MATRIX_HUE_DOWN                       </v>
      </c>
      <c r="F592" s="3" t="s">
        <v>1472</v>
      </c>
      <c r="G592" s="3" t="str">
        <f t="shared" si="39"/>
        <v>0x7846</v>
      </c>
      <c r="H592" s="3" t="s">
        <v>1483</v>
      </c>
      <c r="I592" s="3" t="str">
        <f t="shared" si="40"/>
        <v>&lt;C</v>
      </c>
      <c r="J592" s="5" t="s">
        <v>1482</v>
      </c>
      <c r="K592" s="2" t="str">
        <f t="shared" si="41"/>
        <v xml:space="preserve">    X (  QK_RGB_MATRIX_HUE_DOWN                       , 0x7846,    "&lt;C"     ) \</v>
      </c>
    </row>
    <row r="593" spans="1:11" x14ac:dyDescent="0.25">
      <c r="A593" s="2" t="s">
        <v>1182</v>
      </c>
      <c r="B593" s="2" t="s">
        <v>1183</v>
      </c>
      <c r="D593" s="4" t="s">
        <v>1484</v>
      </c>
      <c r="E593" s="3" t="str">
        <f t="shared" si="38"/>
        <v xml:space="preserve">QK_RGB_MATRIX_SATURATION_UP                  </v>
      </c>
      <c r="F593" s="3" t="s">
        <v>1472</v>
      </c>
      <c r="G593" s="3" t="str">
        <f t="shared" si="39"/>
        <v>0x7847</v>
      </c>
      <c r="H593" s="3" t="s">
        <v>1483</v>
      </c>
      <c r="I593" s="3" t="str">
        <f t="shared" si="40"/>
        <v/>
      </c>
      <c r="J593" s="5" t="s">
        <v>1482</v>
      </c>
      <c r="K593" s="2" t="str">
        <f t="shared" si="41"/>
        <v/>
      </c>
    </row>
    <row r="594" spans="1:11" x14ac:dyDescent="0.25">
      <c r="A594" s="2" t="s">
        <v>1184</v>
      </c>
      <c r="B594" s="2" t="s">
        <v>1185</v>
      </c>
      <c r="D594" s="4" t="s">
        <v>1484</v>
      </c>
      <c r="E594" s="3" t="str">
        <f t="shared" si="38"/>
        <v xml:space="preserve">QK_RGB_MATRIX_SATURATION_DOWN                </v>
      </c>
      <c r="F594" s="3" t="s">
        <v>1472</v>
      </c>
      <c r="G594" s="3" t="str">
        <f t="shared" si="39"/>
        <v>0x7848</v>
      </c>
      <c r="H594" s="3" t="s">
        <v>1483</v>
      </c>
      <c r="I594" s="3" t="str">
        <f t="shared" si="40"/>
        <v/>
      </c>
      <c r="J594" s="5" t="s">
        <v>1482</v>
      </c>
      <c r="K594" s="2" t="str">
        <f t="shared" si="41"/>
        <v/>
      </c>
    </row>
    <row r="595" spans="1:11" x14ac:dyDescent="0.25">
      <c r="A595" s="2" t="s">
        <v>1186</v>
      </c>
      <c r="B595" s="2" t="s">
        <v>1187</v>
      </c>
      <c r="C595" s="3" t="s">
        <v>1602</v>
      </c>
      <c r="D595" s="4" t="s">
        <v>1484</v>
      </c>
      <c r="E595" s="3" t="str">
        <f t="shared" si="38"/>
        <v xml:space="preserve">QK_RGB_MATRIX_VALUE_UP                       </v>
      </c>
      <c r="F595" s="3" t="s">
        <v>1472</v>
      </c>
      <c r="G595" s="3" t="str">
        <f t="shared" si="39"/>
        <v>0x7849</v>
      </c>
      <c r="H595" s="3" t="s">
        <v>1483</v>
      </c>
      <c r="I595" s="3" t="str">
        <f t="shared" si="40"/>
        <v>Br+</v>
      </c>
      <c r="J595" s="5" t="s">
        <v>1482</v>
      </c>
      <c r="K595" s="2" t="str">
        <f t="shared" si="41"/>
        <v xml:space="preserve">    X (  QK_RGB_MATRIX_VALUE_UP                       , 0x7849,    "Br+"     ) \</v>
      </c>
    </row>
    <row r="596" spans="1:11" x14ac:dyDescent="0.25">
      <c r="A596" s="2" t="s">
        <v>1188</v>
      </c>
      <c r="B596" s="2" t="s">
        <v>1189</v>
      </c>
      <c r="C596" s="3" t="s">
        <v>1603</v>
      </c>
      <c r="D596" s="4" t="s">
        <v>1484</v>
      </c>
      <c r="E596" s="3" t="str">
        <f t="shared" si="38"/>
        <v xml:space="preserve">QK_RGB_MATRIX_VALUE_DOWN                     </v>
      </c>
      <c r="F596" s="3" t="s">
        <v>1472</v>
      </c>
      <c r="G596" s="3" t="str">
        <f t="shared" si="39"/>
        <v>0x784A</v>
      </c>
      <c r="H596" s="3" t="s">
        <v>1483</v>
      </c>
      <c r="I596" s="3" t="str">
        <f t="shared" si="40"/>
        <v>Br-</v>
      </c>
      <c r="J596" s="5" t="s">
        <v>1482</v>
      </c>
      <c r="K596" s="2" t="str">
        <f t="shared" si="41"/>
        <v xml:space="preserve">    X (  QK_RGB_MATRIX_VALUE_DOWN                     , 0x784A,    "Br-"     ) \</v>
      </c>
    </row>
    <row r="597" spans="1:11" x14ac:dyDescent="0.25">
      <c r="A597" s="2" t="s">
        <v>1190</v>
      </c>
      <c r="B597" s="2" t="s">
        <v>1191</v>
      </c>
      <c r="D597" s="4" t="s">
        <v>1484</v>
      </c>
      <c r="E597" s="3" t="str">
        <f t="shared" si="38"/>
        <v xml:space="preserve">QK_RGB_MATRIX_SPEED_UP                       </v>
      </c>
      <c r="F597" s="3" t="s">
        <v>1472</v>
      </c>
      <c r="G597" s="3" t="str">
        <f t="shared" si="39"/>
        <v>0x784B</v>
      </c>
      <c r="H597" s="3" t="s">
        <v>1483</v>
      </c>
      <c r="I597" s="3" t="str">
        <f t="shared" si="40"/>
        <v/>
      </c>
      <c r="J597" s="5" t="s">
        <v>1482</v>
      </c>
      <c r="K597" s="2" t="str">
        <f t="shared" si="41"/>
        <v/>
      </c>
    </row>
    <row r="598" spans="1:11" x14ac:dyDescent="0.25">
      <c r="A598" s="2" t="s">
        <v>1192</v>
      </c>
      <c r="B598" s="2" t="s">
        <v>1193</v>
      </c>
      <c r="D598" s="4" t="s">
        <v>1484</v>
      </c>
      <c r="E598" s="3" t="str">
        <f t="shared" si="38"/>
        <v xml:space="preserve">QK_RGB_MATRIX_SPEED_DOWN                     </v>
      </c>
      <c r="F598" s="3" t="s">
        <v>1472</v>
      </c>
      <c r="G598" s="3" t="str">
        <f t="shared" si="39"/>
        <v>0x784C</v>
      </c>
      <c r="H598" s="3" t="s">
        <v>1483</v>
      </c>
      <c r="I598" s="3" t="str">
        <f t="shared" si="40"/>
        <v/>
      </c>
      <c r="J598" s="5" t="s">
        <v>1482</v>
      </c>
      <c r="K598" s="2" t="str">
        <f t="shared" si="41"/>
        <v/>
      </c>
    </row>
    <row r="599" spans="1:11" x14ac:dyDescent="0.25">
      <c r="A599" s="2" t="s">
        <v>1194</v>
      </c>
      <c r="B599" s="2" t="s">
        <v>1195</v>
      </c>
      <c r="D599" s="4" t="s">
        <v>1484</v>
      </c>
      <c r="E599" s="3" t="str">
        <f t="shared" si="38"/>
        <v xml:space="preserve">QK_RGB_MATRIX_FLAG_NEXT                      </v>
      </c>
      <c r="F599" s="3" t="s">
        <v>1472</v>
      </c>
      <c r="G599" s="3" t="str">
        <f t="shared" si="39"/>
        <v>0x784D</v>
      </c>
      <c r="H599" s="3" t="s">
        <v>1483</v>
      </c>
      <c r="I599" s="3" t="str">
        <f t="shared" si="40"/>
        <v/>
      </c>
      <c r="J599" s="5" t="s">
        <v>1482</v>
      </c>
      <c r="K599" s="2" t="str">
        <f t="shared" si="41"/>
        <v/>
      </c>
    </row>
    <row r="600" spans="1:11" x14ac:dyDescent="0.25">
      <c r="A600" s="2" t="s">
        <v>1196</v>
      </c>
      <c r="B600" s="2" t="s">
        <v>1197</v>
      </c>
      <c r="D600" s="4" t="s">
        <v>1484</v>
      </c>
      <c r="E600" s="3" t="str">
        <f t="shared" si="38"/>
        <v xml:space="preserve">QK_RGB_MATRIX_FLAG_PREVIOUS                  </v>
      </c>
      <c r="F600" s="3" t="s">
        <v>1472</v>
      </c>
      <c r="G600" s="3" t="str">
        <f t="shared" si="39"/>
        <v>0x784E</v>
      </c>
      <c r="H600" s="3" t="s">
        <v>1483</v>
      </c>
      <c r="I600" s="3" t="str">
        <f t="shared" si="40"/>
        <v/>
      </c>
      <c r="J600" s="5" t="s">
        <v>1482</v>
      </c>
      <c r="K600" s="2" t="str">
        <f t="shared" si="41"/>
        <v/>
      </c>
    </row>
    <row r="601" spans="1:11" x14ac:dyDescent="0.25">
      <c r="A601" s="2" t="s">
        <v>1198</v>
      </c>
      <c r="B601" s="2" t="s">
        <v>1199</v>
      </c>
      <c r="D601" s="4" t="s">
        <v>1484</v>
      </c>
      <c r="E601" s="3" t="str">
        <f t="shared" si="38"/>
        <v xml:space="preserve">QK_BOOTLOADER                                </v>
      </c>
      <c r="F601" s="3" t="s">
        <v>1472</v>
      </c>
      <c r="G601" s="3" t="str">
        <f t="shared" si="39"/>
        <v>0x7C00</v>
      </c>
      <c r="H601" s="3" t="s">
        <v>1483</v>
      </c>
      <c r="I601" s="3" t="str">
        <f t="shared" si="40"/>
        <v/>
      </c>
      <c r="J601" s="5" t="s">
        <v>1482</v>
      </c>
      <c r="K601" s="2" t="str">
        <f t="shared" si="41"/>
        <v/>
      </c>
    </row>
    <row r="602" spans="1:11" x14ac:dyDescent="0.25">
      <c r="A602" s="2" t="s">
        <v>1200</v>
      </c>
      <c r="B602" s="2" t="s">
        <v>1201</v>
      </c>
      <c r="D602" s="4" t="s">
        <v>1484</v>
      </c>
      <c r="E602" s="3" t="str">
        <f t="shared" si="38"/>
        <v xml:space="preserve">QK_REBOOT                                    </v>
      </c>
      <c r="F602" s="3" t="s">
        <v>1472</v>
      </c>
      <c r="G602" s="3" t="str">
        <f t="shared" si="39"/>
        <v>0x7C01</v>
      </c>
      <c r="H602" s="3" t="s">
        <v>1483</v>
      </c>
      <c r="I602" s="3" t="str">
        <f t="shared" si="40"/>
        <v/>
      </c>
      <c r="J602" s="5" t="s">
        <v>1482</v>
      </c>
      <c r="K602" s="2" t="str">
        <f t="shared" si="41"/>
        <v/>
      </c>
    </row>
    <row r="603" spans="1:11" x14ac:dyDescent="0.25">
      <c r="A603" s="2" t="s">
        <v>1202</v>
      </c>
      <c r="B603" s="2" t="s">
        <v>1203</v>
      </c>
      <c r="D603" s="4" t="s">
        <v>1484</v>
      </c>
      <c r="E603" s="3" t="str">
        <f t="shared" si="38"/>
        <v xml:space="preserve">QK_DEBUG_TOGGLE                              </v>
      </c>
      <c r="F603" s="3" t="s">
        <v>1472</v>
      </c>
      <c r="G603" s="3" t="str">
        <f t="shared" si="39"/>
        <v>0x7C02</v>
      </c>
      <c r="H603" s="3" t="s">
        <v>1483</v>
      </c>
      <c r="I603" s="3" t="str">
        <f t="shared" si="40"/>
        <v/>
      </c>
      <c r="J603" s="5" t="s">
        <v>1482</v>
      </c>
      <c r="K603" s="2" t="str">
        <f t="shared" si="41"/>
        <v/>
      </c>
    </row>
    <row r="604" spans="1:11" x14ac:dyDescent="0.25">
      <c r="A604" s="2" t="s">
        <v>1204</v>
      </c>
      <c r="B604" s="2" t="s">
        <v>1205</v>
      </c>
      <c r="D604" s="4" t="s">
        <v>1484</v>
      </c>
      <c r="E604" s="3" t="str">
        <f t="shared" si="38"/>
        <v xml:space="preserve">QK_CLEAR_EEPROM                              </v>
      </c>
      <c r="F604" s="3" t="s">
        <v>1472</v>
      </c>
      <c r="G604" s="3" t="str">
        <f t="shared" si="39"/>
        <v>0x7C03</v>
      </c>
      <c r="H604" s="3" t="s">
        <v>1483</v>
      </c>
      <c r="I604" s="3" t="str">
        <f t="shared" si="40"/>
        <v/>
      </c>
      <c r="J604" s="5" t="s">
        <v>1482</v>
      </c>
      <c r="K604" s="2" t="str">
        <f t="shared" si="41"/>
        <v/>
      </c>
    </row>
    <row r="605" spans="1:11" x14ac:dyDescent="0.25">
      <c r="A605" s="2" t="s">
        <v>1206</v>
      </c>
      <c r="B605" s="2" t="s">
        <v>1207</v>
      </c>
      <c r="D605" s="4" t="s">
        <v>1484</v>
      </c>
      <c r="E605" s="3" t="str">
        <f t="shared" si="38"/>
        <v xml:space="preserve">QK_MAKE                                      </v>
      </c>
      <c r="F605" s="3" t="s">
        <v>1472</v>
      </c>
      <c r="G605" s="3" t="str">
        <f t="shared" si="39"/>
        <v>0x7C04</v>
      </c>
      <c r="H605" s="3" t="s">
        <v>1483</v>
      </c>
      <c r="I605" s="3" t="str">
        <f t="shared" si="40"/>
        <v/>
      </c>
      <c r="J605" s="5" t="s">
        <v>1482</v>
      </c>
      <c r="K605" s="2" t="str">
        <f t="shared" si="41"/>
        <v/>
      </c>
    </row>
    <row r="606" spans="1:11" x14ac:dyDescent="0.25">
      <c r="A606" s="2" t="s">
        <v>1208</v>
      </c>
      <c r="B606" s="2" t="s">
        <v>1209</v>
      </c>
      <c r="D606" s="4" t="s">
        <v>1484</v>
      </c>
      <c r="E606" s="3" t="str">
        <f t="shared" si="38"/>
        <v xml:space="preserve">QK_AUTO_SHIFT_DOWN                           </v>
      </c>
      <c r="F606" s="3" t="s">
        <v>1472</v>
      </c>
      <c r="G606" s="3" t="str">
        <f t="shared" si="39"/>
        <v>0x7C10</v>
      </c>
      <c r="H606" s="3" t="s">
        <v>1483</v>
      </c>
      <c r="I606" s="3" t="str">
        <f t="shared" si="40"/>
        <v/>
      </c>
      <c r="J606" s="5" t="s">
        <v>1482</v>
      </c>
      <c r="K606" s="2" t="str">
        <f t="shared" si="41"/>
        <v/>
      </c>
    </row>
    <row r="607" spans="1:11" x14ac:dyDescent="0.25">
      <c r="A607" s="2" t="s">
        <v>1210</v>
      </c>
      <c r="B607" s="2" t="s">
        <v>1211</v>
      </c>
      <c r="D607" s="4" t="s">
        <v>1484</v>
      </c>
      <c r="E607" s="3" t="str">
        <f t="shared" si="38"/>
        <v xml:space="preserve">QK_AUTO_SHIFT_UP                             </v>
      </c>
      <c r="F607" s="3" t="s">
        <v>1472</v>
      </c>
      <c r="G607" s="3" t="str">
        <f t="shared" si="39"/>
        <v>0x7C11</v>
      </c>
      <c r="H607" s="3" t="s">
        <v>1483</v>
      </c>
      <c r="I607" s="3" t="str">
        <f t="shared" si="40"/>
        <v/>
      </c>
      <c r="J607" s="5" t="s">
        <v>1482</v>
      </c>
      <c r="K607" s="2" t="str">
        <f t="shared" si="41"/>
        <v/>
      </c>
    </row>
    <row r="608" spans="1:11" x14ac:dyDescent="0.25">
      <c r="A608" s="2" t="s">
        <v>1212</v>
      </c>
      <c r="B608" s="2" t="s">
        <v>1213</v>
      </c>
      <c r="D608" s="4" t="s">
        <v>1484</v>
      </c>
      <c r="E608" s="3" t="str">
        <f t="shared" si="38"/>
        <v xml:space="preserve">QK_AUTO_SHIFT_REPORT                         </v>
      </c>
      <c r="F608" s="3" t="s">
        <v>1472</v>
      </c>
      <c r="G608" s="3" t="str">
        <f t="shared" si="39"/>
        <v>0x7C12</v>
      </c>
      <c r="H608" s="3" t="s">
        <v>1483</v>
      </c>
      <c r="I608" s="3" t="str">
        <f t="shared" si="40"/>
        <v/>
      </c>
      <c r="J608" s="5" t="s">
        <v>1482</v>
      </c>
      <c r="K608" s="2" t="str">
        <f t="shared" si="41"/>
        <v/>
      </c>
    </row>
    <row r="609" spans="1:11" x14ac:dyDescent="0.25">
      <c r="A609" s="2" t="s">
        <v>1214</v>
      </c>
      <c r="B609" s="2" t="s">
        <v>1215</v>
      </c>
      <c r="D609" s="4" t="s">
        <v>1484</v>
      </c>
      <c r="E609" s="3" t="str">
        <f t="shared" si="38"/>
        <v xml:space="preserve">QK_AUTO_SHIFT_ON                             </v>
      </c>
      <c r="F609" s="3" t="s">
        <v>1472</v>
      </c>
      <c r="G609" s="3" t="str">
        <f t="shared" si="39"/>
        <v>0x7C13</v>
      </c>
      <c r="H609" s="3" t="s">
        <v>1483</v>
      </c>
      <c r="I609" s="3" t="str">
        <f t="shared" si="40"/>
        <v/>
      </c>
      <c r="J609" s="5" t="s">
        <v>1482</v>
      </c>
      <c r="K609" s="2" t="str">
        <f t="shared" si="41"/>
        <v/>
      </c>
    </row>
    <row r="610" spans="1:11" x14ac:dyDescent="0.25">
      <c r="A610" s="2" t="s">
        <v>1216</v>
      </c>
      <c r="B610" s="2" t="s">
        <v>1217</v>
      </c>
      <c r="D610" s="4" t="s">
        <v>1484</v>
      </c>
      <c r="E610" s="3" t="str">
        <f t="shared" si="38"/>
        <v xml:space="preserve">QK_AUTO_SHIFT_OFF                            </v>
      </c>
      <c r="F610" s="3" t="s">
        <v>1472</v>
      </c>
      <c r="G610" s="3" t="str">
        <f t="shared" si="39"/>
        <v>0x7C14</v>
      </c>
      <c r="H610" s="3" t="s">
        <v>1483</v>
      </c>
      <c r="I610" s="3" t="str">
        <f t="shared" si="40"/>
        <v/>
      </c>
      <c r="J610" s="5" t="s">
        <v>1482</v>
      </c>
      <c r="K610" s="2" t="str">
        <f t="shared" si="41"/>
        <v/>
      </c>
    </row>
    <row r="611" spans="1:11" x14ac:dyDescent="0.25">
      <c r="A611" s="2" t="s">
        <v>1218</v>
      </c>
      <c r="B611" s="2" t="s">
        <v>1219</v>
      </c>
      <c r="D611" s="4" t="s">
        <v>1484</v>
      </c>
      <c r="E611" s="3" t="str">
        <f t="shared" si="38"/>
        <v xml:space="preserve">QK_AUTO_SHIFT_TOGGLE                         </v>
      </c>
      <c r="F611" s="3" t="s">
        <v>1472</v>
      </c>
      <c r="G611" s="3" t="str">
        <f t="shared" si="39"/>
        <v>0x7C15</v>
      </c>
      <c r="H611" s="3" t="s">
        <v>1483</v>
      </c>
      <c r="I611" s="3" t="str">
        <f t="shared" si="40"/>
        <v/>
      </c>
      <c r="J611" s="5" t="s">
        <v>1482</v>
      </c>
      <c r="K611" s="2" t="str">
        <f t="shared" si="41"/>
        <v/>
      </c>
    </row>
    <row r="612" spans="1:11" x14ac:dyDescent="0.25">
      <c r="A612" s="2" t="s">
        <v>1220</v>
      </c>
      <c r="B612" s="2" t="s">
        <v>1221</v>
      </c>
      <c r="D612" s="4" t="s">
        <v>1484</v>
      </c>
      <c r="E612" s="3" t="str">
        <f t="shared" si="38"/>
        <v xml:space="preserve">QK_GRAVE_ESCAPE                              </v>
      </c>
      <c r="F612" s="3" t="s">
        <v>1472</v>
      </c>
      <c r="G612" s="3" t="str">
        <f t="shared" si="39"/>
        <v>0x7C16</v>
      </c>
      <c r="H612" s="3" t="s">
        <v>1483</v>
      </c>
      <c r="I612" s="3" t="str">
        <f t="shared" si="40"/>
        <v/>
      </c>
      <c r="J612" s="5" t="s">
        <v>1482</v>
      </c>
      <c r="K612" s="2" t="str">
        <f t="shared" si="41"/>
        <v/>
      </c>
    </row>
    <row r="613" spans="1:11" x14ac:dyDescent="0.25">
      <c r="A613" s="2" t="s">
        <v>1222</v>
      </c>
      <c r="B613" s="2" t="s">
        <v>1223</v>
      </c>
      <c r="D613" s="4" t="s">
        <v>1484</v>
      </c>
      <c r="E613" s="3" t="str">
        <f t="shared" si="38"/>
        <v xml:space="preserve">QK_VELOCIKEY_TOGGLE                          </v>
      </c>
      <c r="F613" s="3" t="s">
        <v>1472</v>
      </c>
      <c r="G613" s="3" t="str">
        <f t="shared" si="39"/>
        <v>0x7C17</v>
      </c>
      <c r="H613" s="3" t="s">
        <v>1483</v>
      </c>
      <c r="I613" s="3" t="str">
        <f t="shared" si="40"/>
        <v/>
      </c>
      <c r="J613" s="5" t="s">
        <v>1482</v>
      </c>
      <c r="K613" s="2" t="str">
        <f t="shared" si="41"/>
        <v/>
      </c>
    </row>
    <row r="614" spans="1:11" x14ac:dyDescent="0.25">
      <c r="A614" s="2" t="s">
        <v>1224</v>
      </c>
      <c r="B614" s="2" t="s">
        <v>1225</v>
      </c>
      <c r="D614" s="4" t="s">
        <v>1484</v>
      </c>
      <c r="E614" s="3" t="str">
        <f t="shared" si="38"/>
        <v xml:space="preserve">QK_SPACE_CADET_LEFT_CTRL_PARENTHESIS_OPEN    </v>
      </c>
      <c r="F614" s="3" t="s">
        <v>1472</v>
      </c>
      <c r="G614" s="3" t="str">
        <f t="shared" si="39"/>
        <v>0x7C18</v>
      </c>
      <c r="H614" s="3" t="s">
        <v>1483</v>
      </c>
      <c r="I614" s="3" t="str">
        <f t="shared" si="40"/>
        <v/>
      </c>
      <c r="J614" s="5" t="s">
        <v>1482</v>
      </c>
      <c r="K614" s="2" t="str">
        <f t="shared" si="41"/>
        <v/>
      </c>
    </row>
    <row r="615" spans="1:11" x14ac:dyDescent="0.25">
      <c r="A615" s="2" t="s">
        <v>1226</v>
      </c>
      <c r="B615" s="2" t="s">
        <v>1227</v>
      </c>
      <c r="D615" s="4" t="s">
        <v>1484</v>
      </c>
      <c r="E615" s="3" t="str">
        <f t="shared" si="38"/>
        <v xml:space="preserve">QK_SPACE_CADET_RIGHT_CTRL_PARENTHESIS_CLOSE  </v>
      </c>
      <c r="F615" s="3" t="s">
        <v>1472</v>
      </c>
      <c r="G615" s="3" t="str">
        <f t="shared" si="39"/>
        <v>0x7C19</v>
      </c>
      <c r="H615" s="3" t="s">
        <v>1483</v>
      </c>
      <c r="I615" s="3" t="str">
        <f t="shared" si="40"/>
        <v/>
      </c>
      <c r="J615" s="5" t="s">
        <v>1482</v>
      </c>
      <c r="K615" s="2" t="str">
        <f t="shared" si="41"/>
        <v/>
      </c>
    </row>
    <row r="616" spans="1:11" x14ac:dyDescent="0.25">
      <c r="A616" s="2" t="s">
        <v>1228</v>
      </c>
      <c r="B616" s="2" t="s">
        <v>1229</v>
      </c>
      <c r="D616" s="4" t="s">
        <v>1484</v>
      </c>
      <c r="E616" s="3" t="str">
        <f t="shared" si="38"/>
        <v xml:space="preserve">QK_SPACE_CADET_LEFT_SHIFT_PARENTHESIS_OPEN   </v>
      </c>
      <c r="F616" s="3" t="s">
        <v>1472</v>
      </c>
      <c r="G616" s="3" t="str">
        <f t="shared" si="39"/>
        <v>0x7C1A</v>
      </c>
      <c r="H616" s="3" t="s">
        <v>1483</v>
      </c>
      <c r="I616" s="3" t="str">
        <f t="shared" si="40"/>
        <v/>
      </c>
      <c r="J616" s="5" t="s">
        <v>1482</v>
      </c>
      <c r="K616" s="2" t="str">
        <f t="shared" si="41"/>
        <v/>
      </c>
    </row>
    <row r="617" spans="1:11" x14ac:dyDescent="0.25">
      <c r="A617" s="2" t="s">
        <v>1230</v>
      </c>
      <c r="B617" s="2" t="s">
        <v>1231</v>
      </c>
      <c r="D617" s="4" t="s">
        <v>1484</v>
      </c>
      <c r="E617" s="3" t="str">
        <f t="shared" si="38"/>
        <v xml:space="preserve">QK_SPACE_CADET_RIGHT_SHIFT_PARENTHESIS_CLOSE </v>
      </c>
      <c r="F617" s="3" t="s">
        <v>1472</v>
      </c>
      <c r="G617" s="3" t="str">
        <f t="shared" si="39"/>
        <v>0x7C1B</v>
      </c>
      <c r="H617" s="3" t="s">
        <v>1483</v>
      </c>
      <c r="I617" s="3" t="str">
        <f t="shared" si="40"/>
        <v/>
      </c>
      <c r="J617" s="5" t="s">
        <v>1482</v>
      </c>
      <c r="K617" s="2" t="str">
        <f t="shared" si="41"/>
        <v/>
      </c>
    </row>
    <row r="618" spans="1:11" x14ac:dyDescent="0.25">
      <c r="A618" s="2" t="s">
        <v>1232</v>
      </c>
      <c r="B618" s="2" t="s">
        <v>1233</v>
      </c>
      <c r="D618" s="4" t="s">
        <v>1484</v>
      </c>
      <c r="E618" s="3" t="str">
        <f t="shared" si="38"/>
        <v xml:space="preserve">QK_SPACE_CADET_LEFT_ALT_PARENTHESIS_OPEN     </v>
      </c>
      <c r="F618" s="3" t="s">
        <v>1472</v>
      </c>
      <c r="G618" s="3" t="str">
        <f t="shared" si="39"/>
        <v>0x7C1C</v>
      </c>
      <c r="H618" s="3" t="s">
        <v>1483</v>
      </c>
      <c r="I618" s="3" t="str">
        <f t="shared" si="40"/>
        <v/>
      </c>
      <c r="J618" s="5" t="s">
        <v>1482</v>
      </c>
      <c r="K618" s="2" t="str">
        <f t="shared" si="41"/>
        <v/>
      </c>
    </row>
    <row r="619" spans="1:11" x14ac:dyDescent="0.25">
      <c r="A619" s="2" t="s">
        <v>1234</v>
      </c>
      <c r="B619" s="2" t="s">
        <v>1235</v>
      </c>
      <c r="D619" s="4" t="s">
        <v>1484</v>
      </c>
      <c r="E619" s="3" t="str">
        <f t="shared" si="38"/>
        <v xml:space="preserve">QK_SPACE_CADET_RIGHT_ALT_PARENTHESIS_CLOSE   </v>
      </c>
      <c r="F619" s="3" t="s">
        <v>1472</v>
      </c>
      <c r="G619" s="3" t="str">
        <f t="shared" si="39"/>
        <v>0x7C1D</v>
      </c>
      <c r="H619" s="3" t="s">
        <v>1483</v>
      </c>
      <c r="I619" s="3" t="str">
        <f t="shared" si="40"/>
        <v/>
      </c>
      <c r="J619" s="5" t="s">
        <v>1482</v>
      </c>
      <c r="K619" s="2" t="str">
        <f t="shared" si="41"/>
        <v/>
      </c>
    </row>
    <row r="620" spans="1:11" x14ac:dyDescent="0.25">
      <c r="A620" s="2" t="s">
        <v>1236</v>
      </c>
      <c r="B620" s="2" t="s">
        <v>1237</v>
      </c>
      <c r="D620" s="4" t="s">
        <v>1484</v>
      </c>
      <c r="E620" s="3" t="str">
        <f t="shared" si="38"/>
        <v xml:space="preserve">QK_SPACE_CADET_RIGHT_SHIFT_ENTER             </v>
      </c>
      <c r="F620" s="3" t="s">
        <v>1472</v>
      </c>
      <c r="G620" s="3" t="str">
        <f t="shared" si="39"/>
        <v>0x7C1E</v>
      </c>
      <c r="H620" s="3" t="s">
        <v>1483</v>
      </c>
      <c r="I620" s="3" t="str">
        <f t="shared" si="40"/>
        <v/>
      </c>
      <c r="J620" s="5" t="s">
        <v>1482</v>
      </c>
      <c r="K620" s="2" t="str">
        <f t="shared" si="41"/>
        <v/>
      </c>
    </row>
    <row r="621" spans="1:11" x14ac:dyDescent="0.25">
      <c r="A621" s="2" t="s">
        <v>1238</v>
      </c>
      <c r="B621" s="2" t="s">
        <v>1239</v>
      </c>
      <c r="D621" s="4" t="s">
        <v>1484</v>
      </c>
      <c r="E621" s="3" t="str">
        <f t="shared" si="38"/>
        <v xml:space="preserve">QK_UNICODE_MODE_NEXT                         </v>
      </c>
      <c r="F621" s="3" t="s">
        <v>1472</v>
      </c>
      <c r="G621" s="3" t="str">
        <f t="shared" si="39"/>
        <v>0x7C30</v>
      </c>
      <c r="H621" s="3" t="s">
        <v>1483</v>
      </c>
      <c r="I621" s="3" t="str">
        <f t="shared" si="40"/>
        <v/>
      </c>
      <c r="J621" s="5" t="s">
        <v>1482</v>
      </c>
      <c r="K621" s="2" t="str">
        <f t="shared" si="41"/>
        <v/>
      </c>
    </row>
    <row r="622" spans="1:11" x14ac:dyDescent="0.25">
      <c r="A622" s="2" t="s">
        <v>1240</v>
      </c>
      <c r="B622" s="2" t="s">
        <v>1241</v>
      </c>
      <c r="D622" s="4" t="s">
        <v>1484</v>
      </c>
      <c r="E622" s="3" t="str">
        <f t="shared" si="38"/>
        <v xml:space="preserve">QK_UNICODE_MODE_PREVIOUS                     </v>
      </c>
      <c r="F622" s="3" t="s">
        <v>1472</v>
      </c>
      <c r="G622" s="3" t="str">
        <f t="shared" si="39"/>
        <v>0x7C31</v>
      </c>
      <c r="H622" s="3" t="s">
        <v>1483</v>
      </c>
      <c r="I622" s="3" t="str">
        <f t="shared" si="40"/>
        <v/>
      </c>
      <c r="J622" s="5" t="s">
        <v>1482</v>
      </c>
      <c r="K622" s="2" t="str">
        <f t="shared" si="41"/>
        <v/>
      </c>
    </row>
    <row r="623" spans="1:11" x14ac:dyDescent="0.25">
      <c r="A623" s="2" t="s">
        <v>1242</v>
      </c>
      <c r="B623" s="2" t="s">
        <v>1243</v>
      </c>
      <c r="D623" s="4" t="s">
        <v>1484</v>
      </c>
      <c r="E623" s="3" t="str">
        <f t="shared" si="38"/>
        <v xml:space="preserve">QK_UNICODE_MODE_MACOS                        </v>
      </c>
      <c r="F623" s="3" t="s">
        <v>1472</v>
      </c>
      <c r="G623" s="3" t="str">
        <f t="shared" si="39"/>
        <v>0x7C32</v>
      </c>
      <c r="H623" s="3" t="s">
        <v>1483</v>
      </c>
      <c r="I623" s="3" t="str">
        <f t="shared" si="40"/>
        <v/>
      </c>
      <c r="J623" s="5" t="s">
        <v>1482</v>
      </c>
      <c r="K623" s="2" t="str">
        <f t="shared" si="41"/>
        <v/>
      </c>
    </row>
    <row r="624" spans="1:11" x14ac:dyDescent="0.25">
      <c r="A624" s="2" t="s">
        <v>1244</v>
      </c>
      <c r="B624" s="2" t="s">
        <v>1245</v>
      </c>
      <c r="D624" s="4" t="s">
        <v>1484</v>
      </c>
      <c r="E624" s="3" t="str">
        <f t="shared" si="38"/>
        <v xml:space="preserve">QK_UNICODE_MODE_LINUX                        </v>
      </c>
      <c r="F624" s="3" t="s">
        <v>1472</v>
      </c>
      <c r="G624" s="3" t="str">
        <f t="shared" si="39"/>
        <v>0x7C33</v>
      </c>
      <c r="H624" s="3" t="s">
        <v>1483</v>
      </c>
      <c r="I624" s="3" t="str">
        <f t="shared" si="40"/>
        <v/>
      </c>
      <c r="J624" s="5" t="s">
        <v>1482</v>
      </c>
      <c r="K624" s="2" t="str">
        <f t="shared" si="41"/>
        <v/>
      </c>
    </row>
    <row r="625" spans="1:11" x14ac:dyDescent="0.25">
      <c r="A625" s="2" t="s">
        <v>1246</v>
      </c>
      <c r="B625" s="2" t="s">
        <v>1247</v>
      </c>
      <c r="D625" s="4" t="s">
        <v>1484</v>
      </c>
      <c r="E625" s="3" t="str">
        <f t="shared" si="38"/>
        <v xml:space="preserve">QK_UNICODE_MODE_WINDOWS                      </v>
      </c>
      <c r="F625" s="3" t="s">
        <v>1472</v>
      </c>
      <c r="G625" s="3" t="str">
        <f t="shared" si="39"/>
        <v>0x7C34</v>
      </c>
      <c r="H625" s="3" t="s">
        <v>1483</v>
      </c>
      <c r="I625" s="3" t="str">
        <f t="shared" si="40"/>
        <v/>
      </c>
      <c r="J625" s="5" t="s">
        <v>1482</v>
      </c>
      <c r="K625" s="2" t="str">
        <f t="shared" si="41"/>
        <v/>
      </c>
    </row>
    <row r="626" spans="1:11" x14ac:dyDescent="0.25">
      <c r="A626" s="2" t="s">
        <v>1248</v>
      </c>
      <c r="B626" s="2" t="s">
        <v>1249</v>
      </c>
      <c r="D626" s="4" t="s">
        <v>1484</v>
      </c>
      <c r="E626" s="3" t="str">
        <f t="shared" si="38"/>
        <v xml:space="preserve">QK_UNICODE_MODE_BSD                          </v>
      </c>
      <c r="F626" s="3" t="s">
        <v>1472</v>
      </c>
      <c r="G626" s="3" t="str">
        <f t="shared" si="39"/>
        <v>0x7C35</v>
      </c>
      <c r="H626" s="3" t="s">
        <v>1483</v>
      </c>
      <c r="I626" s="3" t="str">
        <f t="shared" si="40"/>
        <v/>
      </c>
      <c r="J626" s="5" t="s">
        <v>1482</v>
      </c>
      <c r="K626" s="2" t="str">
        <f t="shared" si="41"/>
        <v/>
      </c>
    </row>
    <row r="627" spans="1:11" x14ac:dyDescent="0.25">
      <c r="A627" s="2" t="s">
        <v>1250</v>
      </c>
      <c r="B627" s="2" t="s">
        <v>1251</v>
      </c>
      <c r="D627" s="4" t="s">
        <v>1484</v>
      </c>
      <c r="E627" s="3" t="str">
        <f t="shared" si="38"/>
        <v xml:space="preserve">QK_UNICODE_MODE_WINCOMPOSE                   </v>
      </c>
      <c r="F627" s="3" t="s">
        <v>1472</v>
      </c>
      <c r="G627" s="3" t="str">
        <f t="shared" si="39"/>
        <v>0x7C36</v>
      </c>
      <c r="H627" s="3" t="s">
        <v>1483</v>
      </c>
      <c r="I627" s="3" t="str">
        <f t="shared" si="40"/>
        <v/>
      </c>
      <c r="J627" s="5" t="s">
        <v>1482</v>
      </c>
      <c r="K627" s="2" t="str">
        <f t="shared" si="41"/>
        <v/>
      </c>
    </row>
    <row r="628" spans="1:11" x14ac:dyDescent="0.25">
      <c r="A628" s="2" t="s">
        <v>1252</v>
      </c>
      <c r="B628" s="2" t="s">
        <v>1253</v>
      </c>
      <c r="D628" s="4" t="s">
        <v>1484</v>
      </c>
      <c r="E628" s="3" t="str">
        <f t="shared" si="38"/>
        <v xml:space="preserve">QK_UNICODE_MODE_EMACS                        </v>
      </c>
      <c r="F628" s="3" t="s">
        <v>1472</v>
      </c>
      <c r="G628" s="3" t="str">
        <f t="shared" si="39"/>
        <v>0x7C37</v>
      </c>
      <c r="H628" s="3" t="s">
        <v>1483</v>
      </c>
      <c r="I628" s="3" t="str">
        <f t="shared" si="40"/>
        <v/>
      </c>
      <c r="J628" s="5" t="s">
        <v>1482</v>
      </c>
      <c r="K628" s="2" t="str">
        <f t="shared" si="41"/>
        <v/>
      </c>
    </row>
    <row r="629" spans="1:11" x14ac:dyDescent="0.25">
      <c r="A629" s="2" t="s">
        <v>1254</v>
      </c>
      <c r="B629" s="2" t="s">
        <v>1255</v>
      </c>
      <c r="D629" s="4" t="s">
        <v>1484</v>
      </c>
      <c r="E629" s="3" t="str">
        <f t="shared" si="38"/>
        <v xml:space="preserve">QK_HAPTIC_ON                                 </v>
      </c>
      <c r="F629" s="3" t="s">
        <v>1472</v>
      </c>
      <c r="G629" s="3" t="str">
        <f t="shared" si="39"/>
        <v>0x7C40</v>
      </c>
      <c r="H629" s="3" t="s">
        <v>1483</v>
      </c>
      <c r="I629" s="3" t="str">
        <f t="shared" si="40"/>
        <v/>
      </c>
      <c r="J629" s="5" t="s">
        <v>1482</v>
      </c>
      <c r="K629" s="2" t="str">
        <f t="shared" si="41"/>
        <v/>
      </c>
    </row>
    <row r="630" spans="1:11" x14ac:dyDescent="0.25">
      <c r="A630" s="2" t="s">
        <v>1256</v>
      </c>
      <c r="B630" s="2" t="s">
        <v>1257</v>
      </c>
      <c r="D630" s="4" t="s">
        <v>1484</v>
      </c>
      <c r="E630" s="3" t="str">
        <f t="shared" si="38"/>
        <v xml:space="preserve">QK_HAPTIC_OFF                                </v>
      </c>
      <c r="F630" s="3" t="s">
        <v>1472</v>
      </c>
      <c r="G630" s="3" t="str">
        <f t="shared" si="39"/>
        <v>0x7C41</v>
      </c>
      <c r="H630" s="3" t="s">
        <v>1483</v>
      </c>
      <c r="I630" s="3" t="str">
        <f t="shared" si="40"/>
        <v/>
      </c>
      <c r="J630" s="5" t="s">
        <v>1482</v>
      </c>
      <c r="K630" s="2" t="str">
        <f t="shared" si="41"/>
        <v/>
      </c>
    </row>
    <row r="631" spans="1:11" x14ac:dyDescent="0.25">
      <c r="A631" s="2" t="s">
        <v>1258</v>
      </c>
      <c r="B631" s="2" t="s">
        <v>1259</v>
      </c>
      <c r="D631" s="4" t="s">
        <v>1484</v>
      </c>
      <c r="E631" s="3" t="str">
        <f t="shared" si="38"/>
        <v xml:space="preserve">QK_HAPTIC_TOGGLE                             </v>
      </c>
      <c r="F631" s="3" t="s">
        <v>1472</v>
      </c>
      <c r="G631" s="3" t="str">
        <f t="shared" si="39"/>
        <v>0x7C42</v>
      </c>
      <c r="H631" s="3" t="s">
        <v>1483</v>
      </c>
      <c r="I631" s="3" t="str">
        <f t="shared" si="40"/>
        <v/>
      </c>
      <c r="J631" s="5" t="s">
        <v>1482</v>
      </c>
      <c r="K631" s="2" t="str">
        <f t="shared" si="41"/>
        <v/>
      </c>
    </row>
    <row r="632" spans="1:11" x14ac:dyDescent="0.25">
      <c r="A632" s="2" t="s">
        <v>1260</v>
      </c>
      <c r="B632" s="2" t="s">
        <v>1261</v>
      </c>
      <c r="D632" s="4" t="s">
        <v>1484</v>
      </c>
      <c r="E632" s="3" t="str">
        <f t="shared" si="38"/>
        <v xml:space="preserve">QK_HAPTIC_RESET                              </v>
      </c>
      <c r="F632" s="3" t="s">
        <v>1472</v>
      </c>
      <c r="G632" s="3" t="str">
        <f t="shared" si="39"/>
        <v>0x7C43</v>
      </c>
      <c r="H632" s="3" t="s">
        <v>1483</v>
      </c>
      <c r="I632" s="3" t="str">
        <f t="shared" si="40"/>
        <v/>
      </c>
      <c r="J632" s="5" t="s">
        <v>1482</v>
      </c>
      <c r="K632" s="2" t="str">
        <f t="shared" si="41"/>
        <v/>
      </c>
    </row>
    <row r="633" spans="1:11" x14ac:dyDescent="0.25">
      <c r="A633" s="2" t="s">
        <v>1262</v>
      </c>
      <c r="B633" s="2" t="s">
        <v>1263</v>
      </c>
      <c r="D633" s="4" t="s">
        <v>1484</v>
      </c>
      <c r="E633" s="3" t="str">
        <f t="shared" si="38"/>
        <v xml:space="preserve">QK_HAPTIC_FEEDBACK_TOGGLE                    </v>
      </c>
      <c r="F633" s="3" t="s">
        <v>1472</v>
      </c>
      <c r="G633" s="3" t="str">
        <f t="shared" si="39"/>
        <v>0x7C44</v>
      </c>
      <c r="H633" s="3" t="s">
        <v>1483</v>
      </c>
      <c r="I633" s="3" t="str">
        <f t="shared" si="40"/>
        <v/>
      </c>
      <c r="J633" s="5" t="s">
        <v>1482</v>
      </c>
      <c r="K633" s="2" t="str">
        <f t="shared" si="41"/>
        <v/>
      </c>
    </row>
    <row r="634" spans="1:11" x14ac:dyDescent="0.25">
      <c r="A634" s="2" t="s">
        <v>1264</v>
      </c>
      <c r="B634" s="2" t="s">
        <v>1265</v>
      </c>
      <c r="D634" s="4" t="s">
        <v>1484</v>
      </c>
      <c r="E634" s="3" t="str">
        <f t="shared" si="38"/>
        <v xml:space="preserve">QK_HAPTIC_BUZZ_TOGGLE                        </v>
      </c>
      <c r="F634" s="3" t="s">
        <v>1472</v>
      </c>
      <c r="G634" s="3" t="str">
        <f t="shared" si="39"/>
        <v>0x7C45</v>
      </c>
      <c r="H634" s="3" t="s">
        <v>1483</v>
      </c>
      <c r="I634" s="3" t="str">
        <f t="shared" si="40"/>
        <v/>
      </c>
      <c r="J634" s="5" t="s">
        <v>1482</v>
      </c>
      <c r="K634" s="2" t="str">
        <f t="shared" si="41"/>
        <v/>
      </c>
    </row>
    <row r="635" spans="1:11" x14ac:dyDescent="0.25">
      <c r="A635" s="2" t="s">
        <v>1266</v>
      </c>
      <c r="B635" s="2" t="s">
        <v>1267</v>
      </c>
      <c r="D635" s="4" t="s">
        <v>1484</v>
      </c>
      <c r="E635" s="3" t="str">
        <f t="shared" si="38"/>
        <v xml:space="preserve">QK_HAPTIC_MODE_NEXT                          </v>
      </c>
      <c r="F635" s="3" t="s">
        <v>1472</v>
      </c>
      <c r="G635" s="3" t="str">
        <f t="shared" si="39"/>
        <v>0x7C46</v>
      </c>
      <c r="H635" s="3" t="s">
        <v>1483</v>
      </c>
      <c r="I635" s="3" t="str">
        <f t="shared" si="40"/>
        <v/>
      </c>
      <c r="J635" s="5" t="s">
        <v>1482</v>
      </c>
      <c r="K635" s="2" t="str">
        <f t="shared" si="41"/>
        <v/>
      </c>
    </row>
    <row r="636" spans="1:11" x14ac:dyDescent="0.25">
      <c r="A636" s="2" t="s">
        <v>1268</v>
      </c>
      <c r="B636" s="2" t="s">
        <v>1269</v>
      </c>
      <c r="D636" s="4" t="s">
        <v>1484</v>
      </c>
      <c r="E636" s="3" t="str">
        <f t="shared" si="38"/>
        <v xml:space="preserve">QK_HAPTIC_MODE_PREVIOUS                      </v>
      </c>
      <c r="F636" s="3" t="s">
        <v>1472</v>
      </c>
      <c r="G636" s="3" t="str">
        <f t="shared" si="39"/>
        <v>0x7C47</v>
      </c>
      <c r="H636" s="3" t="s">
        <v>1483</v>
      </c>
      <c r="I636" s="3" t="str">
        <f t="shared" si="40"/>
        <v/>
      </c>
      <c r="J636" s="5" t="s">
        <v>1482</v>
      </c>
      <c r="K636" s="2" t="str">
        <f t="shared" si="41"/>
        <v/>
      </c>
    </row>
    <row r="637" spans="1:11" x14ac:dyDescent="0.25">
      <c r="A637" s="2" t="s">
        <v>1270</v>
      </c>
      <c r="B637" s="2" t="s">
        <v>1271</v>
      </c>
      <c r="D637" s="4" t="s">
        <v>1484</v>
      </c>
      <c r="E637" s="3" t="str">
        <f t="shared" si="38"/>
        <v xml:space="preserve">QK_HAPTIC_CONTINUOUS_TOGGLE                  </v>
      </c>
      <c r="F637" s="3" t="s">
        <v>1472</v>
      </c>
      <c r="G637" s="3" t="str">
        <f t="shared" si="39"/>
        <v>0x7C48</v>
      </c>
      <c r="H637" s="3" t="s">
        <v>1483</v>
      </c>
      <c r="I637" s="3" t="str">
        <f t="shared" si="40"/>
        <v/>
      </c>
      <c r="J637" s="5" t="s">
        <v>1482</v>
      </c>
      <c r="K637" s="2" t="str">
        <f t="shared" si="41"/>
        <v/>
      </c>
    </row>
    <row r="638" spans="1:11" x14ac:dyDescent="0.25">
      <c r="A638" s="2" t="s">
        <v>1272</v>
      </c>
      <c r="B638" s="2" t="s">
        <v>1273</v>
      </c>
      <c r="D638" s="4" t="s">
        <v>1484</v>
      </c>
      <c r="E638" s="3" t="str">
        <f t="shared" si="38"/>
        <v xml:space="preserve">QK_HAPTIC_CONTINUOUS_UP                      </v>
      </c>
      <c r="F638" s="3" t="s">
        <v>1472</v>
      </c>
      <c r="G638" s="3" t="str">
        <f t="shared" si="39"/>
        <v>0x7C49</v>
      </c>
      <c r="H638" s="3" t="s">
        <v>1483</v>
      </c>
      <c r="I638" s="3" t="str">
        <f t="shared" si="40"/>
        <v/>
      </c>
      <c r="J638" s="5" t="s">
        <v>1482</v>
      </c>
      <c r="K638" s="2" t="str">
        <f t="shared" si="41"/>
        <v/>
      </c>
    </row>
    <row r="639" spans="1:11" x14ac:dyDescent="0.25">
      <c r="A639" s="2" t="s">
        <v>1274</v>
      </c>
      <c r="B639" s="2" t="s">
        <v>1275</v>
      </c>
      <c r="D639" s="4" t="s">
        <v>1484</v>
      </c>
      <c r="E639" s="3" t="str">
        <f t="shared" si="38"/>
        <v xml:space="preserve">QK_HAPTIC_CONTINUOUS_DOWN                    </v>
      </c>
      <c r="F639" s="3" t="s">
        <v>1472</v>
      </c>
      <c r="G639" s="3" t="str">
        <f t="shared" si="39"/>
        <v>0x7C4A</v>
      </c>
      <c r="H639" s="3" t="s">
        <v>1483</v>
      </c>
      <c r="I639" s="3" t="str">
        <f t="shared" si="40"/>
        <v/>
      </c>
      <c r="J639" s="5" t="s">
        <v>1482</v>
      </c>
      <c r="K639" s="2" t="str">
        <f t="shared" si="41"/>
        <v/>
      </c>
    </row>
    <row r="640" spans="1:11" x14ac:dyDescent="0.25">
      <c r="A640" s="2" t="s">
        <v>1276</v>
      </c>
      <c r="B640" s="2" t="s">
        <v>1277</v>
      </c>
      <c r="D640" s="4" t="s">
        <v>1484</v>
      </c>
      <c r="E640" s="3" t="str">
        <f t="shared" si="38"/>
        <v xml:space="preserve">QK_HAPTIC_DWELL_UP                           </v>
      </c>
      <c r="F640" s="3" t="s">
        <v>1472</v>
      </c>
      <c r="G640" s="3" t="str">
        <f t="shared" si="39"/>
        <v>0x7C4B</v>
      </c>
      <c r="H640" s="3" t="s">
        <v>1483</v>
      </c>
      <c r="I640" s="3" t="str">
        <f t="shared" si="40"/>
        <v/>
      </c>
      <c r="J640" s="5" t="s">
        <v>1482</v>
      </c>
      <c r="K640" s="2" t="str">
        <f t="shared" si="41"/>
        <v/>
      </c>
    </row>
    <row r="641" spans="1:11" x14ac:dyDescent="0.25">
      <c r="A641" s="2" t="s">
        <v>1278</v>
      </c>
      <c r="B641" s="2" t="s">
        <v>1279</v>
      </c>
      <c r="D641" s="4" t="s">
        <v>1484</v>
      </c>
      <c r="E641" s="3" t="str">
        <f t="shared" si="38"/>
        <v xml:space="preserve">QK_HAPTIC_DWELL_DOWN                         </v>
      </c>
      <c r="F641" s="3" t="s">
        <v>1472</v>
      </c>
      <c r="G641" s="3" t="str">
        <f t="shared" si="39"/>
        <v>0x7C4C</v>
      </c>
      <c r="H641" s="3" t="s">
        <v>1483</v>
      </c>
      <c r="I641" s="3" t="str">
        <f t="shared" si="40"/>
        <v/>
      </c>
      <c r="J641" s="5" t="s">
        <v>1482</v>
      </c>
      <c r="K641" s="2" t="str">
        <f t="shared" si="41"/>
        <v/>
      </c>
    </row>
    <row r="642" spans="1:11" x14ac:dyDescent="0.25">
      <c r="A642" s="2" t="s">
        <v>1280</v>
      </c>
      <c r="B642" s="2" t="s">
        <v>1281</v>
      </c>
      <c r="D642" s="4" t="s">
        <v>1484</v>
      </c>
      <c r="E642" s="3" t="str">
        <f t="shared" si="38"/>
        <v xml:space="preserve">QK_COMBO_ON                                  </v>
      </c>
      <c r="F642" s="3" t="s">
        <v>1472</v>
      </c>
      <c r="G642" s="3" t="str">
        <f t="shared" si="39"/>
        <v>0x7C50</v>
      </c>
      <c r="H642" s="3" t="s">
        <v>1483</v>
      </c>
      <c r="I642" s="3" t="str">
        <f t="shared" si="40"/>
        <v/>
      </c>
      <c r="J642" s="5" t="s">
        <v>1482</v>
      </c>
      <c r="K642" s="2" t="str">
        <f t="shared" si="41"/>
        <v/>
      </c>
    </row>
    <row r="643" spans="1:11" x14ac:dyDescent="0.25">
      <c r="A643" s="2" t="s">
        <v>1282</v>
      </c>
      <c r="B643" s="2" t="s">
        <v>1283</v>
      </c>
      <c r="D643" s="4" t="s">
        <v>1484</v>
      </c>
      <c r="E643" s="3" t="str">
        <f t="shared" ref="E643:E706" si="42">LEFT(A643 &amp; REPT(" ",$E$1),$E$1)</f>
        <v xml:space="preserve">QK_COMBO_OFF                                 </v>
      </c>
      <c r="F643" s="3" t="s">
        <v>1472</v>
      </c>
      <c r="G643" s="3" t="str">
        <f t="shared" ref="G643:G706" si="43">B643</f>
        <v>0x7C51</v>
      </c>
      <c r="H643" s="3" t="s">
        <v>1483</v>
      </c>
      <c r="I643" s="3" t="str">
        <f t="shared" ref="I643:I706" si="44">IF(C643="","",C643)</f>
        <v/>
      </c>
      <c r="J643" s="5" t="s">
        <v>1482</v>
      </c>
      <c r="K643" s="2" t="str">
        <f t="shared" ref="K643:K706" si="45">IF(I643="","",_xlfn.CONCAT(D643:J643))</f>
        <v/>
      </c>
    </row>
    <row r="644" spans="1:11" x14ac:dyDescent="0.25">
      <c r="A644" s="2" t="s">
        <v>1284</v>
      </c>
      <c r="B644" s="2" t="s">
        <v>1285</v>
      </c>
      <c r="D644" s="4" t="s">
        <v>1484</v>
      </c>
      <c r="E644" s="3" t="str">
        <f t="shared" si="42"/>
        <v xml:space="preserve">QK_COMBO_TOGGLE                              </v>
      </c>
      <c r="F644" s="3" t="s">
        <v>1472</v>
      </c>
      <c r="G644" s="3" t="str">
        <f t="shared" si="43"/>
        <v>0x7C52</v>
      </c>
      <c r="H644" s="3" t="s">
        <v>1483</v>
      </c>
      <c r="I644" s="3" t="str">
        <f t="shared" si="44"/>
        <v/>
      </c>
      <c r="J644" s="5" t="s">
        <v>1482</v>
      </c>
      <c r="K644" s="2" t="str">
        <f t="shared" si="45"/>
        <v/>
      </c>
    </row>
    <row r="645" spans="1:11" x14ac:dyDescent="0.25">
      <c r="A645" s="2" t="s">
        <v>1286</v>
      </c>
      <c r="B645" s="2" t="s">
        <v>1287</v>
      </c>
      <c r="D645" s="4" t="s">
        <v>1484</v>
      </c>
      <c r="E645" s="3" t="str">
        <f t="shared" si="42"/>
        <v xml:space="preserve">QK_DYNAMIC_MACRO_RECORD_START_1              </v>
      </c>
      <c r="F645" s="3" t="s">
        <v>1472</v>
      </c>
      <c r="G645" s="3" t="str">
        <f t="shared" si="43"/>
        <v>0x7C53</v>
      </c>
      <c r="H645" s="3" t="s">
        <v>1483</v>
      </c>
      <c r="I645" s="3" t="str">
        <f t="shared" si="44"/>
        <v/>
      </c>
      <c r="J645" s="5" t="s">
        <v>1482</v>
      </c>
      <c r="K645" s="2" t="str">
        <f t="shared" si="45"/>
        <v/>
      </c>
    </row>
    <row r="646" spans="1:11" x14ac:dyDescent="0.25">
      <c r="A646" s="2" t="s">
        <v>1288</v>
      </c>
      <c r="B646" s="2" t="s">
        <v>1289</v>
      </c>
      <c r="D646" s="4" t="s">
        <v>1484</v>
      </c>
      <c r="E646" s="3" t="str">
        <f t="shared" si="42"/>
        <v xml:space="preserve">QK_DYNAMIC_MACRO_RECORD_START_2              </v>
      </c>
      <c r="F646" s="3" t="s">
        <v>1472</v>
      </c>
      <c r="G646" s="3" t="str">
        <f t="shared" si="43"/>
        <v>0x7C54</v>
      </c>
      <c r="H646" s="3" t="s">
        <v>1483</v>
      </c>
      <c r="I646" s="3" t="str">
        <f t="shared" si="44"/>
        <v/>
      </c>
      <c r="J646" s="5" t="s">
        <v>1482</v>
      </c>
      <c r="K646" s="2" t="str">
        <f t="shared" si="45"/>
        <v/>
      </c>
    </row>
    <row r="647" spans="1:11" x14ac:dyDescent="0.25">
      <c r="A647" s="2" t="s">
        <v>1290</v>
      </c>
      <c r="B647" s="2" t="s">
        <v>1291</v>
      </c>
      <c r="D647" s="4" t="s">
        <v>1484</v>
      </c>
      <c r="E647" s="3" t="str">
        <f t="shared" si="42"/>
        <v xml:space="preserve">QK_DYNAMIC_MACRO_RECORD_STOP                 </v>
      </c>
      <c r="F647" s="3" t="s">
        <v>1472</v>
      </c>
      <c r="G647" s="3" t="str">
        <f t="shared" si="43"/>
        <v>0x7C55</v>
      </c>
      <c r="H647" s="3" t="s">
        <v>1483</v>
      </c>
      <c r="I647" s="3" t="str">
        <f t="shared" si="44"/>
        <v/>
      </c>
      <c r="J647" s="5" t="s">
        <v>1482</v>
      </c>
      <c r="K647" s="2" t="str">
        <f t="shared" si="45"/>
        <v/>
      </c>
    </row>
    <row r="648" spans="1:11" x14ac:dyDescent="0.25">
      <c r="A648" s="2" t="s">
        <v>1292</v>
      </c>
      <c r="B648" s="2" t="s">
        <v>1293</v>
      </c>
      <c r="D648" s="4" t="s">
        <v>1484</v>
      </c>
      <c r="E648" s="3" t="str">
        <f t="shared" si="42"/>
        <v xml:space="preserve">QK_DYNAMIC_MACRO_PLAY_1                      </v>
      </c>
      <c r="F648" s="3" t="s">
        <v>1472</v>
      </c>
      <c r="G648" s="3" t="str">
        <f t="shared" si="43"/>
        <v>0x7C56</v>
      </c>
      <c r="H648" s="3" t="s">
        <v>1483</v>
      </c>
      <c r="I648" s="3" t="str">
        <f t="shared" si="44"/>
        <v/>
      </c>
      <c r="J648" s="5" t="s">
        <v>1482</v>
      </c>
      <c r="K648" s="2" t="str">
        <f t="shared" si="45"/>
        <v/>
      </c>
    </row>
    <row r="649" spans="1:11" x14ac:dyDescent="0.25">
      <c r="A649" s="2" t="s">
        <v>1294</v>
      </c>
      <c r="B649" s="2" t="s">
        <v>1295</v>
      </c>
      <c r="D649" s="4" t="s">
        <v>1484</v>
      </c>
      <c r="E649" s="3" t="str">
        <f t="shared" si="42"/>
        <v xml:space="preserve">QK_DYNAMIC_MACRO_PLAY_2                      </v>
      </c>
      <c r="F649" s="3" t="s">
        <v>1472</v>
      </c>
      <c r="G649" s="3" t="str">
        <f t="shared" si="43"/>
        <v>0x7C57</v>
      </c>
      <c r="H649" s="3" t="s">
        <v>1483</v>
      </c>
      <c r="I649" s="3" t="str">
        <f t="shared" si="44"/>
        <v/>
      </c>
      <c r="J649" s="5" t="s">
        <v>1482</v>
      </c>
      <c r="K649" s="2" t="str">
        <f t="shared" si="45"/>
        <v/>
      </c>
    </row>
    <row r="650" spans="1:11" x14ac:dyDescent="0.25">
      <c r="A650" s="2" t="s">
        <v>1296</v>
      </c>
      <c r="B650" s="2" t="s">
        <v>1297</v>
      </c>
      <c r="D650" s="4" t="s">
        <v>1484</v>
      </c>
      <c r="E650" s="3" t="str">
        <f t="shared" si="42"/>
        <v xml:space="preserve">QK_LEADER                                    </v>
      </c>
      <c r="F650" s="3" t="s">
        <v>1472</v>
      </c>
      <c r="G650" s="3" t="str">
        <f t="shared" si="43"/>
        <v>0x7C58</v>
      </c>
      <c r="H650" s="3" t="s">
        <v>1483</v>
      </c>
      <c r="I650" s="3" t="str">
        <f t="shared" si="44"/>
        <v/>
      </c>
      <c r="J650" s="5" t="s">
        <v>1482</v>
      </c>
      <c r="K650" s="2" t="str">
        <f t="shared" si="45"/>
        <v/>
      </c>
    </row>
    <row r="651" spans="1:11" x14ac:dyDescent="0.25">
      <c r="A651" s="2" t="s">
        <v>1298</v>
      </c>
      <c r="B651" s="2" t="s">
        <v>1299</v>
      </c>
      <c r="D651" s="4" t="s">
        <v>1484</v>
      </c>
      <c r="E651" s="3" t="str">
        <f t="shared" si="42"/>
        <v xml:space="preserve">QK_LOCK                                      </v>
      </c>
      <c r="F651" s="3" t="s">
        <v>1472</v>
      </c>
      <c r="G651" s="3" t="str">
        <f t="shared" si="43"/>
        <v>0x7C59</v>
      </c>
      <c r="H651" s="3" t="s">
        <v>1483</v>
      </c>
      <c r="I651" s="3" t="str">
        <f t="shared" si="44"/>
        <v/>
      </c>
      <c r="J651" s="5" t="s">
        <v>1482</v>
      </c>
      <c r="K651" s="2" t="str">
        <f t="shared" si="45"/>
        <v/>
      </c>
    </row>
    <row r="652" spans="1:11" x14ac:dyDescent="0.25">
      <c r="A652" s="2" t="s">
        <v>1300</v>
      </c>
      <c r="B652" s="2" t="s">
        <v>1301</v>
      </c>
      <c r="D652" s="4" t="s">
        <v>1484</v>
      </c>
      <c r="E652" s="3" t="str">
        <f t="shared" si="42"/>
        <v xml:space="preserve">QK_ONE_SHOT_ON                               </v>
      </c>
      <c r="F652" s="3" t="s">
        <v>1472</v>
      </c>
      <c r="G652" s="3" t="str">
        <f t="shared" si="43"/>
        <v>0x7C5A</v>
      </c>
      <c r="H652" s="3" t="s">
        <v>1483</v>
      </c>
      <c r="I652" s="3" t="str">
        <f t="shared" si="44"/>
        <v/>
      </c>
      <c r="J652" s="5" t="s">
        <v>1482</v>
      </c>
      <c r="K652" s="2" t="str">
        <f t="shared" si="45"/>
        <v/>
      </c>
    </row>
    <row r="653" spans="1:11" x14ac:dyDescent="0.25">
      <c r="A653" s="2" t="s">
        <v>1302</v>
      </c>
      <c r="B653" s="2" t="s">
        <v>1303</v>
      </c>
      <c r="D653" s="4" t="s">
        <v>1484</v>
      </c>
      <c r="E653" s="3" t="str">
        <f t="shared" si="42"/>
        <v xml:space="preserve">QK_ONE_SHOT_OFF                              </v>
      </c>
      <c r="F653" s="3" t="s">
        <v>1472</v>
      </c>
      <c r="G653" s="3" t="str">
        <f t="shared" si="43"/>
        <v>0x7C5B</v>
      </c>
      <c r="H653" s="3" t="s">
        <v>1483</v>
      </c>
      <c r="I653" s="3" t="str">
        <f t="shared" si="44"/>
        <v/>
      </c>
      <c r="J653" s="5" t="s">
        <v>1482</v>
      </c>
      <c r="K653" s="2" t="str">
        <f t="shared" si="45"/>
        <v/>
      </c>
    </row>
    <row r="654" spans="1:11" x14ac:dyDescent="0.25">
      <c r="A654" s="2" t="s">
        <v>1304</v>
      </c>
      <c r="B654" s="2" t="s">
        <v>1305</v>
      </c>
      <c r="D654" s="4" t="s">
        <v>1484</v>
      </c>
      <c r="E654" s="3" t="str">
        <f t="shared" si="42"/>
        <v xml:space="preserve">QK_ONE_SHOT_TOGGLE                           </v>
      </c>
      <c r="F654" s="3" t="s">
        <v>1472</v>
      </c>
      <c r="G654" s="3" t="str">
        <f t="shared" si="43"/>
        <v>0x7C5C</v>
      </c>
      <c r="H654" s="3" t="s">
        <v>1483</v>
      </c>
      <c r="I654" s="3" t="str">
        <f t="shared" si="44"/>
        <v/>
      </c>
      <c r="J654" s="5" t="s">
        <v>1482</v>
      </c>
      <c r="K654" s="2" t="str">
        <f t="shared" si="45"/>
        <v/>
      </c>
    </row>
    <row r="655" spans="1:11" x14ac:dyDescent="0.25">
      <c r="A655" s="2" t="s">
        <v>1306</v>
      </c>
      <c r="B655" s="2" t="s">
        <v>1307</v>
      </c>
      <c r="D655" s="4" t="s">
        <v>1484</v>
      </c>
      <c r="E655" s="3" t="str">
        <f t="shared" si="42"/>
        <v xml:space="preserve">QK_KEY_OVERRIDE_TOGGLE                       </v>
      </c>
      <c r="F655" s="3" t="s">
        <v>1472</v>
      </c>
      <c r="G655" s="3" t="str">
        <f t="shared" si="43"/>
        <v>0x7C5D</v>
      </c>
      <c r="H655" s="3" t="s">
        <v>1483</v>
      </c>
      <c r="I655" s="3" t="str">
        <f t="shared" si="44"/>
        <v/>
      </c>
      <c r="J655" s="5" t="s">
        <v>1482</v>
      </c>
      <c r="K655" s="2" t="str">
        <f t="shared" si="45"/>
        <v/>
      </c>
    </row>
    <row r="656" spans="1:11" x14ac:dyDescent="0.25">
      <c r="A656" s="2" t="s">
        <v>1308</v>
      </c>
      <c r="B656" s="2" t="s">
        <v>1309</v>
      </c>
      <c r="D656" s="4" t="s">
        <v>1484</v>
      </c>
      <c r="E656" s="3" t="str">
        <f t="shared" si="42"/>
        <v xml:space="preserve">QK_KEY_OVERRIDE_ON                           </v>
      </c>
      <c r="F656" s="3" t="s">
        <v>1472</v>
      </c>
      <c r="G656" s="3" t="str">
        <f t="shared" si="43"/>
        <v>0x7C5E</v>
      </c>
      <c r="H656" s="3" t="s">
        <v>1483</v>
      </c>
      <c r="I656" s="3" t="str">
        <f t="shared" si="44"/>
        <v/>
      </c>
      <c r="J656" s="5" t="s">
        <v>1482</v>
      </c>
      <c r="K656" s="2" t="str">
        <f t="shared" si="45"/>
        <v/>
      </c>
    </row>
    <row r="657" spans="1:11" x14ac:dyDescent="0.25">
      <c r="A657" s="2" t="s">
        <v>1310</v>
      </c>
      <c r="B657" s="2" t="s">
        <v>1311</v>
      </c>
      <c r="D657" s="4" t="s">
        <v>1484</v>
      </c>
      <c r="E657" s="3" t="str">
        <f t="shared" si="42"/>
        <v xml:space="preserve">QK_KEY_OVERRIDE_OFF                          </v>
      </c>
      <c r="F657" s="3" t="s">
        <v>1472</v>
      </c>
      <c r="G657" s="3" t="str">
        <f t="shared" si="43"/>
        <v>0x7C5F</v>
      </c>
      <c r="H657" s="3" t="s">
        <v>1483</v>
      </c>
      <c r="I657" s="3" t="str">
        <f t="shared" si="44"/>
        <v/>
      </c>
      <c r="J657" s="5" t="s">
        <v>1482</v>
      </c>
      <c r="K657" s="2" t="str">
        <f t="shared" si="45"/>
        <v/>
      </c>
    </row>
    <row r="658" spans="1:11" x14ac:dyDescent="0.25">
      <c r="A658" s="2" t="s">
        <v>1312</v>
      </c>
      <c r="B658" s="2" t="s">
        <v>1313</v>
      </c>
      <c r="D658" s="4" t="s">
        <v>1484</v>
      </c>
      <c r="E658" s="3" t="str">
        <f t="shared" si="42"/>
        <v xml:space="preserve">QK_SECURE_LOCK                               </v>
      </c>
      <c r="F658" s="3" t="s">
        <v>1472</v>
      </c>
      <c r="G658" s="3" t="str">
        <f t="shared" si="43"/>
        <v>0x7C60</v>
      </c>
      <c r="H658" s="3" t="s">
        <v>1483</v>
      </c>
      <c r="I658" s="3" t="str">
        <f t="shared" si="44"/>
        <v/>
      </c>
      <c r="J658" s="5" t="s">
        <v>1482</v>
      </c>
      <c r="K658" s="2" t="str">
        <f t="shared" si="45"/>
        <v/>
      </c>
    </row>
    <row r="659" spans="1:11" x14ac:dyDescent="0.25">
      <c r="A659" s="2" t="s">
        <v>1314</v>
      </c>
      <c r="B659" s="2" t="s">
        <v>1315</v>
      </c>
      <c r="D659" s="4" t="s">
        <v>1484</v>
      </c>
      <c r="E659" s="3" t="str">
        <f t="shared" si="42"/>
        <v xml:space="preserve">QK_SECURE_UNLOCK                             </v>
      </c>
      <c r="F659" s="3" t="s">
        <v>1472</v>
      </c>
      <c r="G659" s="3" t="str">
        <f t="shared" si="43"/>
        <v>0x7C61</v>
      </c>
      <c r="H659" s="3" t="s">
        <v>1483</v>
      </c>
      <c r="I659" s="3" t="str">
        <f t="shared" si="44"/>
        <v/>
      </c>
      <c r="J659" s="5" t="s">
        <v>1482</v>
      </c>
      <c r="K659" s="2" t="str">
        <f t="shared" si="45"/>
        <v/>
      </c>
    </row>
    <row r="660" spans="1:11" x14ac:dyDescent="0.25">
      <c r="A660" s="2" t="s">
        <v>1316</v>
      </c>
      <c r="B660" s="2" t="s">
        <v>1317</v>
      </c>
      <c r="D660" s="4" t="s">
        <v>1484</v>
      </c>
      <c r="E660" s="3" t="str">
        <f t="shared" si="42"/>
        <v xml:space="preserve">QK_SECURE_TOGGLE                             </v>
      </c>
      <c r="F660" s="3" t="s">
        <v>1472</v>
      </c>
      <c r="G660" s="3" t="str">
        <f t="shared" si="43"/>
        <v>0x7C62</v>
      </c>
      <c r="H660" s="3" t="s">
        <v>1483</v>
      </c>
      <c r="I660" s="3" t="str">
        <f t="shared" si="44"/>
        <v/>
      </c>
      <c r="J660" s="5" t="s">
        <v>1482</v>
      </c>
      <c r="K660" s="2" t="str">
        <f t="shared" si="45"/>
        <v/>
      </c>
    </row>
    <row r="661" spans="1:11" x14ac:dyDescent="0.25">
      <c r="A661" s="2" t="s">
        <v>1318</v>
      </c>
      <c r="B661" s="2" t="s">
        <v>1319</v>
      </c>
      <c r="D661" s="4" t="s">
        <v>1484</v>
      </c>
      <c r="E661" s="3" t="str">
        <f t="shared" si="42"/>
        <v xml:space="preserve">QK_SECURE_REQUEST                            </v>
      </c>
      <c r="F661" s="3" t="s">
        <v>1472</v>
      </c>
      <c r="G661" s="3" t="str">
        <f t="shared" si="43"/>
        <v>0x7C63</v>
      </c>
      <c r="H661" s="3" t="s">
        <v>1483</v>
      </c>
      <c r="I661" s="3" t="str">
        <f t="shared" si="44"/>
        <v/>
      </c>
      <c r="J661" s="5" t="s">
        <v>1482</v>
      </c>
      <c r="K661" s="2" t="str">
        <f t="shared" si="45"/>
        <v/>
      </c>
    </row>
    <row r="662" spans="1:11" x14ac:dyDescent="0.25">
      <c r="A662" s="2" t="s">
        <v>1320</v>
      </c>
      <c r="B662" s="2" t="s">
        <v>1321</v>
      </c>
      <c r="D662" s="4" t="s">
        <v>1484</v>
      </c>
      <c r="E662" s="3" t="str">
        <f t="shared" si="42"/>
        <v xml:space="preserve">QK_DYNAMIC_TAPPING_TERM_PRINT                </v>
      </c>
      <c r="F662" s="3" t="s">
        <v>1472</v>
      </c>
      <c r="G662" s="3" t="str">
        <f t="shared" si="43"/>
        <v>0x7C70</v>
      </c>
      <c r="H662" s="3" t="s">
        <v>1483</v>
      </c>
      <c r="I662" s="3" t="str">
        <f t="shared" si="44"/>
        <v/>
      </c>
      <c r="J662" s="5" t="s">
        <v>1482</v>
      </c>
      <c r="K662" s="2" t="str">
        <f t="shared" si="45"/>
        <v/>
      </c>
    </row>
    <row r="663" spans="1:11" x14ac:dyDescent="0.25">
      <c r="A663" s="2" t="s">
        <v>1322</v>
      </c>
      <c r="B663" s="2" t="s">
        <v>1323</v>
      </c>
      <c r="D663" s="4" t="s">
        <v>1484</v>
      </c>
      <c r="E663" s="3" t="str">
        <f t="shared" si="42"/>
        <v xml:space="preserve">QK_DYNAMIC_TAPPING_TERM_UP                   </v>
      </c>
      <c r="F663" s="3" t="s">
        <v>1472</v>
      </c>
      <c r="G663" s="3" t="str">
        <f t="shared" si="43"/>
        <v>0x7C71</v>
      </c>
      <c r="H663" s="3" t="s">
        <v>1483</v>
      </c>
      <c r="I663" s="3" t="str">
        <f t="shared" si="44"/>
        <v/>
      </c>
      <c r="J663" s="5" t="s">
        <v>1482</v>
      </c>
      <c r="K663" s="2" t="str">
        <f t="shared" si="45"/>
        <v/>
      </c>
    </row>
    <row r="664" spans="1:11" x14ac:dyDescent="0.25">
      <c r="A664" s="2" t="s">
        <v>1324</v>
      </c>
      <c r="B664" s="2" t="s">
        <v>1325</v>
      </c>
      <c r="D664" s="4" t="s">
        <v>1484</v>
      </c>
      <c r="E664" s="3" t="str">
        <f t="shared" si="42"/>
        <v xml:space="preserve">QK_DYNAMIC_TAPPING_TERM_DOWN                 </v>
      </c>
      <c r="F664" s="3" t="s">
        <v>1472</v>
      </c>
      <c r="G664" s="3" t="str">
        <f t="shared" si="43"/>
        <v>0x7C72</v>
      </c>
      <c r="H664" s="3" t="s">
        <v>1483</v>
      </c>
      <c r="I664" s="3" t="str">
        <f t="shared" si="44"/>
        <v/>
      </c>
      <c r="J664" s="5" t="s">
        <v>1482</v>
      </c>
      <c r="K664" s="2" t="str">
        <f t="shared" si="45"/>
        <v/>
      </c>
    </row>
    <row r="665" spans="1:11" x14ac:dyDescent="0.25">
      <c r="A665" s="2" t="s">
        <v>1326</v>
      </c>
      <c r="B665" s="2" t="s">
        <v>1327</v>
      </c>
      <c r="D665" s="4" t="s">
        <v>1484</v>
      </c>
      <c r="E665" s="3" t="str">
        <f t="shared" si="42"/>
        <v xml:space="preserve">QK_CAPS_WORD_TOGGLE                          </v>
      </c>
      <c r="F665" s="3" t="s">
        <v>1472</v>
      </c>
      <c r="G665" s="3" t="str">
        <f t="shared" si="43"/>
        <v>0x7C73</v>
      </c>
      <c r="H665" s="3" t="s">
        <v>1483</v>
      </c>
      <c r="I665" s="3" t="str">
        <f t="shared" si="44"/>
        <v/>
      </c>
      <c r="J665" s="5" t="s">
        <v>1482</v>
      </c>
      <c r="K665" s="2" t="str">
        <f t="shared" si="45"/>
        <v/>
      </c>
    </row>
    <row r="666" spans="1:11" x14ac:dyDescent="0.25">
      <c r="A666" s="2" t="s">
        <v>1328</v>
      </c>
      <c r="B666" s="2" t="s">
        <v>1329</v>
      </c>
      <c r="D666" s="4" t="s">
        <v>1484</v>
      </c>
      <c r="E666" s="3" t="str">
        <f t="shared" si="42"/>
        <v xml:space="preserve">QK_AUTOCORRECT_ON                            </v>
      </c>
      <c r="F666" s="3" t="s">
        <v>1472</v>
      </c>
      <c r="G666" s="3" t="str">
        <f t="shared" si="43"/>
        <v>0x7C74</v>
      </c>
      <c r="H666" s="3" t="s">
        <v>1483</v>
      </c>
      <c r="I666" s="3" t="str">
        <f t="shared" si="44"/>
        <v/>
      </c>
      <c r="J666" s="5" t="s">
        <v>1482</v>
      </c>
      <c r="K666" s="2" t="str">
        <f t="shared" si="45"/>
        <v/>
      </c>
    </row>
    <row r="667" spans="1:11" x14ac:dyDescent="0.25">
      <c r="A667" s="2" t="s">
        <v>1330</v>
      </c>
      <c r="B667" s="2" t="s">
        <v>1331</v>
      </c>
      <c r="D667" s="4" t="s">
        <v>1484</v>
      </c>
      <c r="E667" s="3" t="str">
        <f t="shared" si="42"/>
        <v xml:space="preserve">QK_AUTOCORRECT_OFF                           </v>
      </c>
      <c r="F667" s="3" t="s">
        <v>1472</v>
      </c>
      <c r="G667" s="3" t="str">
        <f t="shared" si="43"/>
        <v>0x7C75</v>
      </c>
      <c r="H667" s="3" t="s">
        <v>1483</v>
      </c>
      <c r="I667" s="3" t="str">
        <f t="shared" si="44"/>
        <v/>
      </c>
      <c r="J667" s="5" t="s">
        <v>1482</v>
      </c>
      <c r="K667" s="2" t="str">
        <f t="shared" si="45"/>
        <v/>
      </c>
    </row>
    <row r="668" spans="1:11" x14ac:dyDescent="0.25">
      <c r="A668" s="2" t="s">
        <v>1332</v>
      </c>
      <c r="B668" s="2" t="s">
        <v>1333</v>
      </c>
      <c r="D668" s="4" t="s">
        <v>1484</v>
      </c>
      <c r="E668" s="3" t="str">
        <f t="shared" si="42"/>
        <v xml:space="preserve">QK_AUTOCORRECT_TOGGLE                        </v>
      </c>
      <c r="F668" s="3" t="s">
        <v>1472</v>
      </c>
      <c r="G668" s="3" t="str">
        <f t="shared" si="43"/>
        <v>0x7C76</v>
      </c>
      <c r="H668" s="3" t="s">
        <v>1483</v>
      </c>
      <c r="I668" s="3" t="str">
        <f t="shared" si="44"/>
        <v/>
      </c>
      <c r="J668" s="5" t="s">
        <v>1482</v>
      </c>
      <c r="K668" s="2" t="str">
        <f t="shared" si="45"/>
        <v/>
      </c>
    </row>
    <row r="669" spans="1:11" x14ac:dyDescent="0.25">
      <c r="A669" s="2" t="s">
        <v>1334</v>
      </c>
      <c r="B669" s="2" t="s">
        <v>1335</v>
      </c>
      <c r="D669" s="4" t="s">
        <v>1484</v>
      </c>
      <c r="E669" s="3" t="str">
        <f t="shared" si="42"/>
        <v xml:space="preserve">QK_TRI_LAYER_LOWER                           </v>
      </c>
      <c r="F669" s="3" t="s">
        <v>1472</v>
      </c>
      <c r="G669" s="3" t="str">
        <f t="shared" si="43"/>
        <v>0x7C77</v>
      </c>
      <c r="H669" s="3" t="s">
        <v>1483</v>
      </c>
      <c r="I669" s="3" t="str">
        <f t="shared" si="44"/>
        <v/>
      </c>
      <c r="J669" s="5" t="s">
        <v>1482</v>
      </c>
      <c r="K669" s="2" t="str">
        <f t="shared" si="45"/>
        <v/>
      </c>
    </row>
    <row r="670" spans="1:11" x14ac:dyDescent="0.25">
      <c r="A670" s="2" t="s">
        <v>1336</v>
      </c>
      <c r="B670" s="2" t="s">
        <v>1337</v>
      </c>
      <c r="D670" s="4" t="s">
        <v>1484</v>
      </c>
      <c r="E670" s="3" t="str">
        <f t="shared" si="42"/>
        <v xml:space="preserve">QK_TRI_LAYER_UPPER                           </v>
      </c>
      <c r="F670" s="3" t="s">
        <v>1472</v>
      </c>
      <c r="G670" s="3" t="str">
        <f t="shared" si="43"/>
        <v>0x7C78</v>
      </c>
      <c r="H670" s="3" t="s">
        <v>1483</v>
      </c>
      <c r="I670" s="3" t="str">
        <f t="shared" si="44"/>
        <v/>
      </c>
      <c r="J670" s="5" t="s">
        <v>1482</v>
      </c>
      <c r="K670" s="2" t="str">
        <f t="shared" si="45"/>
        <v/>
      </c>
    </row>
    <row r="671" spans="1:11" x14ac:dyDescent="0.25">
      <c r="A671" s="2" t="s">
        <v>1338</v>
      </c>
      <c r="B671" s="2" t="s">
        <v>1339</v>
      </c>
      <c r="D671" s="4" t="s">
        <v>1484</v>
      </c>
      <c r="E671" s="3" t="str">
        <f t="shared" si="42"/>
        <v xml:space="preserve">QK_REPEAT_KEY                                </v>
      </c>
      <c r="F671" s="3" t="s">
        <v>1472</v>
      </c>
      <c r="G671" s="3" t="str">
        <f t="shared" si="43"/>
        <v>0x7C79</v>
      </c>
      <c r="H671" s="3" t="s">
        <v>1483</v>
      </c>
      <c r="I671" s="3" t="str">
        <f t="shared" si="44"/>
        <v/>
      </c>
      <c r="J671" s="5" t="s">
        <v>1482</v>
      </c>
      <c r="K671" s="2" t="str">
        <f t="shared" si="45"/>
        <v/>
      </c>
    </row>
    <row r="672" spans="1:11" x14ac:dyDescent="0.25">
      <c r="A672" s="2" t="s">
        <v>1340</v>
      </c>
      <c r="B672" s="2" t="s">
        <v>1341</v>
      </c>
      <c r="D672" s="4" t="s">
        <v>1484</v>
      </c>
      <c r="E672" s="3" t="str">
        <f t="shared" si="42"/>
        <v xml:space="preserve">QK_ALT_REPEAT_KEY                            </v>
      </c>
      <c r="F672" s="3" t="s">
        <v>1472</v>
      </c>
      <c r="G672" s="3" t="str">
        <f t="shared" si="43"/>
        <v>0x7C7A</v>
      </c>
      <c r="H672" s="3" t="s">
        <v>1483</v>
      </c>
      <c r="I672" s="3" t="str">
        <f t="shared" si="44"/>
        <v/>
      </c>
      <c r="J672" s="5" t="s">
        <v>1482</v>
      </c>
      <c r="K672" s="2" t="str">
        <f t="shared" si="45"/>
        <v/>
      </c>
    </row>
    <row r="673" spans="1:11" x14ac:dyDescent="0.25">
      <c r="A673" s="2" t="s">
        <v>1342</v>
      </c>
      <c r="B673" s="2" t="s">
        <v>1343</v>
      </c>
      <c r="D673" s="4" t="s">
        <v>1484</v>
      </c>
      <c r="E673" s="3" t="str">
        <f t="shared" si="42"/>
        <v xml:space="preserve">QK_LAYER_LOCK                                </v>
      </c>
      <c r="F673" s="3" t="s">
        <v>1472</v>
      </c>
      <c r="G673" s="3" t="str">
        <f t="shared" si="43"/>
        <v>0x7C7B</v>
      </c>
      <c r="H673" s="3" t="s">
        <v>1483</v>
      </c>
      <c r="I673" s="3" t="str">
        <f t="shared" si="44"/>
        <v/>
      </c>
      <c r="J673" s="5" t="s">
        <v>1482</v>
      </c>
      <c r="K673" s="2" t="str">
        <f t="shared" si="45"/>
        <v/>
      </c>
    </row>
    <row r="674" spans="1:11" x14ac:dyDescent="0.25">
      <c r="A674" s="2" t="s">
        <v>1344</v>
      </c>
      <c r="B674" s="2" t="s">
        <v>1345</v>
      </c>
      <c r="D674" s="4" t="s">
        <v>1484</v>
      </c>
      <c r="E674" s="3" t="str">
        <f t="shared" si="42"/>
        <v xml:space="preserve">QK_KB_0                                      </v>
      </c>
      <c r="F674" s="3" t="s">
        <v>1472</v>
      </c>
      <c r="G674" s="3" t="str">
        <f t="shared" si="43"/>
        <v>0x7E00</v>
      </c>
      <c r="H674" s="3" t="s">
        <v>1483</v>
      </c>
      <c r="I674" s="3" t="str">
        <f t="shared" si="44"/>
        <v/>
      </c>
      <c r="J674" s="5" t="s">
        <v>1482</v>
      </c>
      <c r="K674" s="2" t="str">
        <f t="shared" si="45"/>
        <v/>
      </c>
    </row>
    <row r="675" spans="1:11" x14ac:dyDescent="0.25">
      <c r="A675" s="2" t="s">
        <v>1346</v>
      </c>
      <c r="B675" s="2" t="s">
        <v>1347</v>
      </c>
      <c r="D675" s="4" t="s">
        <v>1484</v>
      </c>
      <c r="E675" s="3" t="str">
        <f t="shared" si="42"/>
        <v xml:space="preserve">QK_KB_1                                      </v>
      </c>
      <c r="F675" s="3" t="s">
        <v>1472</v>
      </c>
      <c r="G675" s="3" t="str">
        <f t="shared" si="43"/>
        <v>0x7E01</v>
      </c>
      <c r="H675" s="3" t="s">
        <v>1483</v>
      </c>
      <c r="I675" s="3" t="str">
        <f t="shared" si="44"/>
        <v/>
      </c>
      <c r="J675" s="5" t="s">
        <v>1482</v>
      </c>
      <c r="K675" s="2" t="str">
        <f t="shared" si="45"/>
        <v/>
      </c>
    </row>
    <row r="676" spans="1:11" x14ac:dyDescent="0.25">
      <c r="A676" s="2" t="s">
        <v>1348</v>
      </c>
      <c r="B676" s="2" t="s">
        <v>1349</v>
      </c>
      <c r="D676" s="4" t="s">
        <v>1484</v>
      </c>
      <c r="E676" s="3" t="str">
        <f t="shared" si="42"/>
        <v xml:space="preserve">QK_KB_2                                      </v>
      </c>
      <c r="F676" s="3" t="s">
        <v>1472</v>
      </c>
      <c r="G676" s="3" t="str">
        <f t="shared" si="43"/>
        <v>0x7E02</v>
      </c>
      <c r="H676" s="3" t="s">
        <v>1483</v>
      </c>
      <c r="I676" s="3" t="str">
        <f t="shared" si="44"/>
        <v/>
      </c>
      <c r="J676" s="5" t="s">
        <v>1482</v>
      </c>
      <c r="K676" s="2" t="str">
        <f t="shared" si="45"/>
        <v/>
      </c>
    </row>
    <row r="677" spans="1:11" x14ac:dyDescent="0.25">
      <c r="A677" s="2" t="s">
        <v>1350</v>
      </c>
      <c r="B677" s="2" t="s">
        <v>1351</v>
      </c>
      <c r="D677" s="4" t="s">
        <v>1484</v>
      </c>
      <c r="E677" s="3" t="str">
        <f t="shared" si="42"/>
        <v xml:space="preserve">QK_KB_3                                      </v>
      </c>
      <c r="F677" s="3" t="s">
        <v>1472</v>
      </c>
      <c r="G677" s="3" t="str">
        <f t="shared" si="43"/>
        <v>0x7E03</v>
      </c>
      <c r="H677" s="3" t="s">
        <v>1483</v>
      </c>
      <c r="I677" s="3" t="str">
        <f t="shared" si="44"/>
        <v/>
      </c>
      <c r="J677" s="5" t="s">
        <v>1482</v>
      </c>
      <c r="K677" s="2" t="str">
        <f t="shared" si="45"/>
        <v/>
      </c>
    </row>
    <row r="678" spans="1:11" x14ac:dyDescent="0.25">
      <c r="A678" s="2" t="s">
        <v>1352</v>
      </c>
      <c r="B678" s="2" t="s">
        <v>1353</v>
      </c>
      <c r="D678" s="4" t="s">
        <v>1484</v>
      </c>
      <c r="E678" s="3" t="str">
        <f t="shared" si="42"/>
        <v xml:space="preserve">QK_KB_4                                      </v>
      </c>
      <c r="F678" s="3" t="s">
        <v>1472</v>
      </c>
      <c r="G678" s="3" t="str">
        <f t="shared" si="43"/>
        <v>0x7E04</v>
      </c>
      <c r="H678" s="3" t="s">
        <v>1483</v>
      </c>
      <c r="I678" s="3" t="str">
        <f t="shared" si="44"/>
        <v/>
      </c>
      <c r="J678" s="5" t="s">
        <v>1482</v>
      </c>
      <c r="K678" s="2" t="str">
        <f t="shared" si="45"/>
        <v/>
      </c>
    </row>
    <row r="679" spans="1:11" x14ac:dyDescent="0.25">
      <c r="A679" s="2" t="s">
        <v>1354</v>
      </c>
      <c r="B679" s="2" t="s">
        <v>1355</v>
      </c>
      <c r="D679" s="4" t="s">
        <v>1484</v>
      </c>
      <c r="E679" s="3" t="str">
        <f t="shared" si="42"/>
        <v xml:space="preserve">QK_KB_5                                      </v>
      </c>
      <c r="F679" s="3" t="s">
        <v>1472</v>
      </c>
      <c r="G679" s="3" t="str">
        <f t="shared" si="43"/>
        <v>0x7E05</v>
      </c>
      <c r="H679" s="3" t="s">
        <v>1483</v>
      </c>
      <c r="I679" s="3" t="str">
        <f t="shared" si="44"/>
        <v/>
      </c>
      <c r="J679" s="5" t="s">
        <v>1482</v>
      </c>
      <c r="K679" s="2" t="str">
        <f t="shared" si="45"/>
        <v/>
      </c>
    </row>
    <row r="680" spans="1:11" x14ac:dyDescent="0.25">
      <c r="A680" s="2" t="s">
        <v>1356</v>
      </c>
      <c r="B680" s="2" t="s">
        <v>1357</v>
      </c>
      <c r="D680" s="4" t="s">
        <v>1484</v>
      </c>
      <c r="E680" s="3" t="str">
        <f t="shared" si="42"/>
        <v xml:space="preserve">QK_KB_6                                      </v>
      </c>
      <c r="F680" s="3" t="s">
        <v>1472</v>
      </c>
      <c r="G680" s="3" t="str">
        <f t="shared" si="43"/>
        <v>0x7E06</v>
      </c>
      <c r="H680" s="3" t="s">
        <v>1483</v>
      </c>
      <c r="I680" s="3" t="str">
        <f t="shared" si="44"/>
        <v/>
      </c>
      <c r="J680" s="5" t="s">
        <v>1482</v>
      </c>
      <c r="K680" s="2" t="str">
        <f t="shared" si="45"/>
        <v/>
      </c>
    </row>
    <row r="681" spans="1:11" x14ac:dyDescent="0.25">
      <c r="A681" s="2" t="s">
        <v>1358</v>
      </c>
      <c r="B681" s="2" t="s">
        <v>1359</v>
      </c>
      <c r="D681" s="4" t="s">
        <v>1484</v>
      </c>
      <c r="E681" s="3" t="str">
        <f t="shared" si="42"/>
        <v xml:space="preserve">QK_KB_7                                      </v>
      </c>
      <c r="F681" s="3" t="s">
        <v>1472</v>
      </c>
      <c r="G681" s="3" t="str">
        <f t="shared" si="43"/>
        <v>0x7E07</v>
      </c>
      <c r="H681" s="3" t="s">
        <v>1483</v>
      </c>
      <c r="I681" s="3" t="str">
        <f t="shared" si="44"/>
        <v/>
      </c>
      <c r="J681" s="5" t="s">
        <v>1482</v>
      </c>
      <c r="K681" s="2" t="str">
        <f t="shared" si="45"/>
        <v/>
      </c>
    </row>
    <row r="682" spans="1:11" x14ac:dyDescent="0.25">
      <c r="A682" s="2" t="s">
        <v>1360</v>
      </c>
      <c r="B682" s="2" t="s">
        <v>1361</v>
      </c>
      <c r="D682" s="4" t="s">
        <v>1484</v>
      </c>
      <c r="E682" s="3" t="str">
        <f t="shared" si="42"/>
        <v xml:space="preserve">QK_KB_8                                      </v>
      </c>
      <c r="F682" s="3" t="s">
        <v>1472</v>
      </c>
      <c r="G682" s="3" t="str">
        <f t="shared" si="43"/>
        <v>0x7E08</v>
      </c>
      <c r="H682" s="3" t="s">
        <v>1483</v>
      </c>
      <c r="I682" s="3" t="str">
        <f t="shared" si="44"/>
        <v/>
      </c>
      <c r="J682" s="5" t="s">
        <v>1482</v>
      </c>
      <c r="K682" s="2" t="str">
        <f t="shared" si="45"/>
        <v/>
      </c>
    </row>
    <row r="683" spans="1:11" x14ac:dyDescent="0.25">
      <c r="A683" s="2" t="s">
        <v>1362</v>
      </c>
      <c r="B683" s="2" t="s">
        <v>1363</v>
      </c>
      <c r="D683" s="4" t="s">
        <v>1484</v>
      </c>
      <c r="E683" s="3" t="str">
        <f t="shared" si="42"/>
        <v xml:space="preserve">QK_KB_9                                      </v>
      </c>
      <c r="F683" s="3" t="s">
        <v>1472</v>
      </c>
      <c r="G683" s="3" t="str">
        <f t="shared" si="43"/>
        <v>0x7E09</v>
      </c>
      <c r="H683" s="3" t="s">
        <v>1483</v>
      </c>
      <c r="I683" s="3" t="str">
        <f t="shared" si="44"/>
        <v/>
      </c>
      <c r="J683" s="5" t="s">
        <v>1482</v>
      </c>
      <c r="K683" s="2" t="str">
        <f t="shared" si="45"/>
        <v/>
      </c>
    </row>
    <row r="684" spans="1:11" x14ac:dyDescent="0.25">
      <c r="A684" s="2" t="s">
        <v>1364</v>
      </c>
      <c r="B684" s="2" t="s">
        <v>1365</v>
      </c>
      <c r="D684" s="4" t="s">
        <v>1484</v>
      </c>
      <c r="E684" s="3" t="str">
        <f t="shared" si="42"/>
        <v xml:space="preserve">QK_KB_10                                     </v>
      </c>
      <c r="F684" s="3" t="s">
        <v>1472</v>
      </c>
      <c r="G684" s="3" t="str">
        <f t="shared" si="43"/>
        <v>0x7E0A</v>
      </c>
      <c r="H684" s="3" t="s">
        <v>1483</v>
      </c>
      <c r="I684" s="3" t="str">
        <f t="shared" si="44"/>
        <v/>
      </c>
      <c r="J684" s="5" t="s">
        <v>1482</v>
      </c>
      <c r="K684" s="2" t="str">
        <f t="shared" si="45"/>
        <v/>
      </c>
    </row>
    <row r="685" spans="1:11" x14ac:dyDescent="0.25">
      <c r="A685" s="2" t="s">
        <v>1366</v>
      </c>
      <c r="B685" s="2" t="s">
        <v>1367</v>
      </c>
      <c r="D685" s="4" t="s">
        <v>1484</v>
      </c>
      <c r="E685" s="3" t="str">
        <f t="shared" si="42"/>
        <v xml:space="preserve">QK_KB_11                                     </v>
      </c>
      <c r="F685" s="3" t="s">
        <v>1472</v>
      </c>
      <c r="G685" s="3" t="str">
        <f t="shared" si="43"/>
        <v>0x7E0B</v>
      </c>
      <c r="H685" s="3" t="s">
        <v>1483</v>
      </c>
      <c r="I685" s="3" t="str">
        <f t="shared" si="44"/>
        <v/>
      </c>
      <c r="J685" s="5" t="s">
        <v>1482</v>
      </c>
      <c r="K685" s="2" t="str">
        <f t="shared" si="45"/>
        <v/>
      </c>
    </row>
    <row r="686" spans="1:11" x14ac:dyDescent="0.25">
      <c r="A686" s="2" t="s">
        <v>1368</v>
      </c>
      <c r="B686" s="2" t="s">
        <v>1369</v>
      </c>
      <c r="D686" s="4" t="s">
        <v>1484</v>
      </c>
      <c r="E686" s="3" t="str">
        <f t="shared" si="42"/>
        <v xml:space="preserve">QK_KB_12                                     </v>
      </c>
      <c r="F686" s="3" t="s">
        <v>1472</v>
      </c>
      <c r="G686" s="3" t="str">
        <f t="shared" si="43"/>
        <v>0x7E0C</v>
      </c>
      <c r="H686" s="3" t="s">
        <v>1483</v>
      </c>
      <c r="I686" s="3" t="str">
        <f t="shared" si="44"/>
        <v/>
      </c>
      <c r="J686" s="5" t="s">
        <v>1482</v>
      </c>
      <c r="K686" s="2" t="str">
        <f t="shared" si="45"/>
        <v/>
      </c>
    </row>
    <row r="687" spans="1:11" x14ac:dyDescent="0.25">
      <c r="A687" s="2" t="s">
        <v>1370</v>
      </c>
      <c r="B687" s="2" t="s">
        <v>1371</v>
      </c>
      <c r="D687" s="4" t="s">
        <v>1484</v>
      </c>
      <c r="E687" s="3" t="str">
        <f t="shared" si="42"/>
        <v xml:space="preserve">QK_KB_13                                     </v>
      </c>
      <c r="F687" s="3" t="s">
        <v>1472</v>
      </c>
      <c r="G687" s="3" t="str">
        <f t="shared" si="43"/>
        <v>0x7E0D</v>
      </c>
      <c r="H687" s="3" t="s">
        <v>1483</v>
      </c>
      <c r="I687" s="3" t="str">
        <f t="shared" si="44"/>
        <v/>
      </c>
      <c r="J687" s="5" t="s">
        <v>1482</v>
      </c>
      <c r="K687" s="2" t="str">
        <f t="shared" si="45"/>
        <v/>
      </c>
    </row>
    <row r="688" spans="1:11" x14ac:dyDescent="0.25">
      <c r="A688" s="2" t="s">
        <v>1372</v>
      </c>
      <c r="B688" s="2" t="s">
        <v>1373</v>
      </c>
      <c r="D688" s="4" t="s">
        <v>1484</v>
      </c>
      <c r="E688" s="3" t="str">
        <f t="shared" si="42"/>
        <v xml:space="preserve">QK_KB_14                                     </v>
      </c>
      <c r="F688" s="3" t="s">
        <v>1472</v>
      </c>
      <c r="G688" s="3" t="str">
        <f t="shared" si="43"/>
        <v>0x7E0E</v>
      </c>
      <c r="H688" s="3" t="s">
        <v>1483</v>
      </c>
      <c r="I688" s="3" t="str">
        <f t="shared" si="44"/>
        <v/>
      </c>
      <c r="J688" s="5" t="s">
        <v>1482</v>
      </c>
      <c r="K688" s="2" t="str">
        <f t="shared" si="45"/>
        <v/>
      </c>
    </row>
    <row r="689" spans="1:11" x14ac:dyDescent="0.25">
      <c r="A689" s="2" t="s">
        <v>1374</v>
      </c>
      <c r="B689" s="2" t="s">
        <v>1375</v>
      </c>
      <c r="D689" s="4" t="s">
        <v>1484</v>
      </c>
      <c r="E689" s="3" t="str">
        <f t="shared" si="42"/>
        <v xml:space="preserve">QK_KB_15                                     </v>
      </c>
      <c r="F689" s="3" t="s">
        <v>1472</v>
      </c>
      <c r="G689" s="3" t="str">
        <f t="shared" si="43"/>
        <v>0x7E0F</v>
      </c>
      <c r="H689" s="3" t="s">
        <v>1483</v>
      </c>
      <c r="I689" s="3" t="str">
        <f t="shared" si="44"/>
        <v/>
      </c>
      <c r="J689" s="5" t="s">
        <v>1482</v>
      </c>
      <c r="K689" s="2" t="str">
        <f t="shared" si="45"/>
        <v/>
      </c>
    </row>
    <row r="690" spans="1:11" x14ac:dyDescent="0.25">
      <c r="A690" s="2" t="s">
        <v>1376</v>
      </c>
      <c r="B690" s="2" t="s">
        <v>1377</v>
      </c>
      <c r="D690" s="4" t="s">
        <v>1484</v>
      </c>
      <c r="E690" s="3" t="str">
        <f t="shared" si="42"/>
        <v xml:space="preserve">QK_KB_16                                     </v>
      </c>
      <c r="F690" s="3" t="s">
        <v>1472</v>
      </c>
      <c r="G690" s="3" t="str">
        <f t="shared" si="43"/>
        <v>0x7E10</v>
      </c>
      <c r="H690" s="3" t="s">
        <v>1483</v>
      </c>
      <c r="I690" s="3" t="str">
        <f t="shared" si="44"/>
        <v/>
      </c>
      <c r="J690" s="5" t="s">
        <v>1482</v>
      </c>
      <c r="K690" s="2" t="str">
        <f t="shared" si="45"/>
        <v/>
      </c>
    </row>
    <row r="691" spans="1:11" x14ac:dyDescent="0.25">
      <c r="A691" s="2" t="s">
        <v>1378</v>
      </c>
      <c r="B691" s="2" t="s">
        <v>1379</v>
      </c>
      <c r="D691" s="4" t="s">
        <v>1484</v>
      </c>
      <c r="E691" s="3" t="str">
        <f t="shared" si="42"/>
        <v xml:space="preserve">QK_KB_17                                     </v>
      </c>
      <c r="F691" s="3" t="s">
        <v>1472</v>
      </c>
      <c r="G691" s="3" t="str">
        <f t="shared" si="43"/>
        <v>0x7E11</v>
      </c>
      <c r="H691" s="3" t="s">
        <v>1483</v>
      </c>
      <c r="I691" s="3" t="str">
        <f t="shared" si="44"/>
        <v/>
      </c>
      <c r="J691" s="5" t="s">
        <v>1482</v>
      </c>
      <c r="K691" s="2" t="str">
        <f t="shared" si="45"/>
        <v/>
      </c>
    </row>
    <row r="692" spans="1:11" x14ac:dyDescent="0.25">
      <c r="A692" s="2" t="s">
        <v>1380</v>
      </c>
      <c r="B692" s="2" t="s">
        <v>1381</v>
      </c>
      <c r="D692" s="4" t="s">
        <v>1484</v>
      </c>
      <c r="E692" s="3" t="str">
        <f t="shared" si="42"/>
        <v xml:space="preserve">QK_KB_18                                     </v>
      </c>
      <c r="F692" s="3" t="s">
        <v>1472</v>
      </c>
      <c r="G692" s="3" t="str">
        <f t="shared" si="43"/>
        <v>0x7E12</v>
      </c>
      <c r="H692" s="3" t="s">
        <v>1483</v>
      </c>
      <c r="I692" s="3" t="str">
        <f t="shared" si="44"/>
        <v/>
      </c>
      <c r="J692" s="5" t="s">
        <v>1482</v>
      </c>
      <c r="K692" s="2" t="str">
        <f t="shared" si="45"/>
        <v/>
      </c>
    </row>
    <row r="693" spans="1:11" x14ac:dyDescent="0.25">
      <c r="A693" s="2" t="s">
        <v>1382</v>
      </c>
      <c r="B693" s="2" t="s">
        <v>1383</v>
      </c>
      <c r="D693" s="4" t="s">
        <v>1484</v>
      </c>
      <c r="E693" s="3" t="str">
        <f t="shared" si="42"/>
        <v xml:space="preserve">QK_KB_19                                     </v>
      </c>
      <c r="F693" s="3" t="s">
        <v>1472</v>
      </c>
      <c r="G693" s="3" t="str">
        <f t="shared" si="43"/>
        <v>0x7E13</v>
      </c>
      <c r="H693" s="3" t="s">
        <v>1483</v>
      </c>
      <c r="I693" s="3" t="str">
        <f t="shared" si="44"/>
        <v/>
      </c>
      <c r="J693" s="5" t="s">
        <v>1482</v>
      </c>
      <c r="K693" s="2" t="str">
        <f t="shared" si="45"/>
        <v/>
      </c>
    </row>
    <row r="694" spans="1:11" x14ac:dyDescent="0.25">
      <c r="A694" s="2" t="s">
        <v>1384</v>
      </c>
      <c r="B694" s="2" t="s">
        <v>1385</v>
      </c>
      <c r="D694" s="4" t="s">
        <v>1484</v>
      </c>
      <c r="E694" s="3" t="str">
        <f t="shared" si="42"/>
        <v xml:space="preserve">QK_KB_20                                     </v>
      </c>
      <c r="F694" s="3" t="s">
        <v>1472</v>
      </c>
      <c r="G694" s="3" t="str">
        <f t="shared" si="43"/>
        <v>0x7E14</v>
      </c>
      <c r="H694" s="3" t="s">
        <v>1483</v>
      </c>
      <c r="I694" s="3" t="str">
        <f t="shared" si="44"/>
        <v/>
      </c>
      <c r="J694" s="5" t="s">
        <v>1482</v>
      </c>
      <c r="K694" s="2" t="str">
        <f t="shared" si="45"/>
        <v/>
      </c>
    </row>
    <row r="695" spans="1:11" x14ac:dyDescent="0.25">
      <c r="A695" s="2" t="s">
        <v>1386</v>
      </c>
      <c r="B695" s="2" t="s">
        <v>1387</v>
      </c>
      <c r="D695" s="4" t="s">
        <v>1484</v>
      </c>
      <c r="E695" s="3" t="str">
        <f t="shared" si="42"/>
        <v xml:space="preserve">QK_KB_21                                     </v>
      </c>
      <c r="F695" s="3" t="s">
        <v>1472</v>
      </c>
      <c r="G695" s="3" t="str">
        <f t="shared" si="43"/>
        <v>0x7E15</v>
      </c>
      <c r="H695" s="3" t="s">
        <v>1483</v>
      </c>
      <c r="I695" s="3" t="str">
        <f t="shared" si="44"/>
        <v/>
      </c>
      <c r="J695" s="5" t="s">
        <v>1482</v>
      </c>
      <c r="K695" s="2" t="str">
        <f t="shared" si="45"/>
        <v/>
      </c>
    </row>
    <row r="696" spans="1:11" x14ac:dyDescent="0.25">
      <c r="A696" s="2" t="s">
        <v>1388</v>
      </c>
      <c r="B696" s="2" t="s">
        <v>1389</v>
      </c>
      <c r="D696" s="4" t="s">
        <v>1484</v>
      </c>
      <c r="E696" s="3" t="str">
        <f t="shared" si="42"/>
        <v xml:space="preserve">QK_KB_22                                     </v>
      </c>
      <c r="F696" s="3" t="s">
        <v>1472</v>
      </c>
      <c r="G696" s="3" t="str">
        <f t="shared" si="43"/>
        <v>0x7E16</v>
      </c>
      <c r="H696" s="3" t="s">
        <v>1483</v>
      </c>
      <c r="I696" s="3" t="str">
        <f t="shared" si="44"/>
        <v/>
      </c>
      <c r="J696" s="5" t="s">
        <v>1482</v>
      </c>
      <c r="K696" s="2" t="str">
        <f t="shared" si="45"/>
        <v/>
      </c>
    </row>
    <row r="697" spans="1:11" x14ac:dyDescent="0.25">
      <c r="A697" s="2" t="s">
        <v>1390</v>
      </c>
      <c r="B697" s="2" t="s">
        <v>1391</v>
      </c>
      <c r="D697" s="4" t="s">
        <v>1484</v>
      </c>
      <c r="E697" s="3" t="str">
        <f t="shared" si="42"/>
        <v xml:space="preserve">QK_KB_23                                     </v>
      </c>
      <c r="F697" s="3" t="s">
        <v>1472</v>
      </c>
      <c r="G697" s="3" t="str">
        <f t="shared" si="43"/>
        <v>0x7E17</v>
      </c>
      <c r="H697" s="3" t="s">
        <v>1483</v>
      </c>
      <c r="I697" s="3" t="str">
        <f t="shared" si="44"/>
        <v/>
      </c>
      <c r="J697" s="5" t="s">
        <v>1482</v>
      </c>
      <c r="K697" s="2" t="str">
        <f t="shared" si="45"/>
        <v/>
      </c>
    </row>
    <row r="698" spans="1:11" x14ac:dyDescent="0.25">
      <c r="A698" s="2" t="s">
        <v>1392</v>
      </c>
      <c r="B698" s="2" t="s">
        <v>1393</v>
      </c>
      <c r="D698" s="4" t="s">
        <v>1484</v>
      </c>
      <c r="E698" s="3" t="str">
        <f t="shared" si="42"/>
        <v xml:space="preserve">QK_KB_24                                     </v>
      </c>
      <c r="F698" s="3" t="s">
        <v>1472</v>
      </c>
      <c r="G698" s="3" t="str">
        <f t="shared" si="43"/>
        <v>0x7E18</v>
      </c>
      <c r="H698" s="3" t="s">
        <v>1483</v>
      </c>
      <c r="I698" s="3" t="str">
        <f t="shared" si="44"/>
        <v/>
      </c>
      <c r="J698" s="5" t="s">
        <v>1482</v>
      </c>
      <c r="K698" s="2" t="str">
        <f t="shared" si="45"/>
        <v/>
      </c>
    </row>
    <row r="699" spans="1:11" x14ac:dyDescent="0.25">
      <c r="A699" s="2" t="s">
        <v>1394</v>
      </c>
      <c r="B699" s="2" t="s">
        <v>1395</v>
      </c>
      <c r="D699" s="4" t="s">
        <v>1484</v>
      </c>
      <c r="E699" s="3" t="str">
        <f t="shared" si="42"/>
        <v xml:space="preserve">QK_KB_25                                     </v>
      </c>
      <c r="F699" s="3" t="s">
        <v>1472</v>
      </c>
      <c r="G699" s="3" t="str">
        <f t="shared" si="43"/>
        <v>0x7E19</v>
      </c>
      <c r="H699" s="3" t="s">
        <v>1483</v>
      </c>
      <c r="I699" s="3" t="str">
        <f t="shared" si="44"/>
        <v/>
      </c>
      <c r="J699" s="5" t="s">
        <v>1482</v>
      </c>
      <c r="K699" s="2" t="str">
        <f t="shared" si="45"/>
        <v/>
      </c>
    </row>
    <row r="700" spans="1:11" x14ac:dyDescent="0.25">
      <c r="A700" s="2" t="s">
        <v>1396</v>
      </c>
      <c r="B700" s="2" t="s">
        <v>1397</v>
      </c>
      <c r="D700" s="4" t="s">
        <v>1484</v>
      </c>
      <c r="E700" s="3" t="str">
        <f t="shared" si="42"/>
        <v xml:space="preserve">QK_KB_26                                     </v>
      </c>
      <c r="F700" s="3" t="s">
        <v>1472</v>
      </c>
      <c r="G700" s="3" t="str">
        <f t="shared" si="43"/>
        <v>0x7E1A</v>
      </c>
      <c r="H700" s="3" t="s">
        <v>1483</v>
      </c>
      <c r="I700" s="3" t="str">
        <f t="shared" si="44"/>
        <v/>
      </c>
      <c r="J700" s="5" t="s">
        <v>1482</v>
      </c>
      <c r="K700" s="2" t="str">
        <f t="shared" si="45"/>
        <v/>
      </c>
    </row>
    <row r="701" spans="1:11" x14ac:dyDescent="0.25">
      <c r="A701" s="2" t="s">
        <v>1398</v>
      </c>
      <c r="B701" s="2" t="s">
        <v>1399</v>
      </c>
      <c r="D701" s="4" t="s">
        <v>1484</v>
      </c>
      <c r="E701" s="3" t="str">
        <f t="shared" si="42"/>
        <v xml:space="preserve">QK_KB_27                                     </v>
      </c>
      <c r="F701" s="3" t="s">
        <v>1472</v>
      </c>
      <c r="G701" s="3" t="str">
        <f t="shared" si="43"/>
        <v>0x7E1B</v>
      </c>
      <c r="H701" s="3" t="s">
        <v>1483</v>
      </c>
      <c r="I701" s="3" t="str">
        <f t="shared" si="44"/>
        <v/>
      </c>
      <c r="J701" s="5" t="s">
        <v>1482</v>
      </c>
      <c r="K701" s="2" t="str">
        <f t="shared" si="45"/>
        <v/>
      </c>
    </row>
    <row r="702" spans="1:11" x14ac:dyDescent="0.25">
      <c r="A702" s="2" t="s">
        <v>1400</v>
      </c>
      <c r="B702" s="2" t="s">
        <v>1401</v>
      </c>
      <c r="D702" s="4" t="s">
        <v>1484</v>
      </c>
      <c r="E702" s="3" t="str">
        <f t="shared" si="42"/>
        <v xml:space="preserve">QK_KB_28                                     </v>
      </c>
      <c r="F702" s="3" t="s">
        <v>1472</v>
      </c>
      <c r="G702" s="3" t="str">
        <f t="shared" si="43"/>
        <v>0x7E1C</v>
      </c>
      <c r="H702" s="3" t="s">
        <v>1483</v>
      </c>
      <c r="I702" s="3" t="str">
        <f t="shared" si="44"/>
        <v/>
      </c>
      <c r="J702" s="5" t="s">
        <v>1482</v>
      </c>
      <c r="K702" s="2" t="str">
        <f t="shared" si="45"/>
        <v/>
      </c>
    </row>
    <row r="703" spans="1:11" x14ac:dyDescent="0.25">
      <c r="A703" s="2" t="s">
        <v>1402</v>
      </c>
      <c r="B703" s="2" t="s">
        <v>1403</v>
      </c>
      <c r="D703" s="4" t="s">
        <v>1484</v>
      </c>
      <c r="E703" s="3" t="str">
        <f t="shared" si="42"/>
        <v xml:space="preserve">QK_KB_29                                     </v>
      </c>
      <c r="F703" s="3" t="s">
        <v>1472</v>
      </c>
      <c r="G703" s="3" t="str">
        <f t="shared" si="43"/>
        <v>0x7E1D</v>
      </c>
      <c r="H703" s="3" t="s">
        <v>1483</v>
      </c>
      <c r="I703" s="3" t="str">
        <f t="shared" si="44"/>
        <v/>
      </c>
      <c r="J703" s="5" t="s">
        <v>1482</v>
      </c>
      <c r="K703" s="2" t="str">
        <f t="shared" si="45"/>
        <v/>
      </c>
    </row>
    <row r="704" spans="1:11" x14ac:dyDescent="0.25">
      <c r="A704" s="2" t="s">
        <v>1404</v>
      </c>
      <c r="B704" s="2" t="s">
        <v>1405</v>
      </c>
      <c r="D704" s="4" t="s">
        <v>1484</v>
      </c>
      <c r="E704" s="3" t="str">
        <f t="shared" si="42"/>
        <v xml:space="preserve">QK_KB_30                                     </v>
      </c>
      <c r="F704" s="3" t="s">
        <v>1472</v>
      </c>
      <c r="G704" s="3" t="str">
        <f t="shared" si="43"/>
        <v>0x7E1E</v>
      </c>
      <c r="H704" s="3" t="s">
        <v>1483</v>
      </c>
      <c r="I704" s="3" t="str">
        <f t="shared" si="44"/>
        <v/>
      </c>
      <c r="J704" s="5" t="s">
        <v>1482</v>
      </c>
      <c r="K704" s="2" t="str">
        <f t="shared" si="45"/>
        <v/>
      </c>
    </row>
    <row r="705" spans="1:11" x14ac:dyDescent="0.25">
      <c r="A705" s="2" t="s">
        <v>1406</v>
      </c>
      <c r="B705" s="2" t="s">
        <v>1407</v>
      </c>
      <c r="D705" s="4" t="s">
        <v>1484</v>
      </c>
      <c r="E705" s="3" t="str">
        <f t="shared" si="42"/>
        <v xml:space="preserve">QK_KB_31                                     </v>
      </c>
      <c r="F705" s="3" t="s">
        <v>1472</v>
      </c>
      <c r="G705" s="3" t="str">
        <f t="shared" si="43"/>
        <v>0x7E1F</v>
      </c>
      <c r="H705" s="3" t="s">
        <v>1483</v>
      </c>
      <c r="I705" s="3" t="str">
        <f t="shared" si="44"/>
        <v/>
      </c>
      <c r="J705" s="5" t="s">
        <v>1482</v>
      </c>
      <c r="K705" s="2" t="str">
        <f t="shared" si="45"/>
        <v/>
      </c>
    </row>
    <row r="706" spans="1:11" x14ac:dyDescent="0.25">
      <c r="A706" s="2" t="s">
        <v>1408</v>
      </c>
      <c r="B706" s="2" t="s">
        <v>1409</v>
      </c>
      <c r="C706" s="3" t="s">
        <v>1607</v>
      </c>
      <c r="D706" s="4" t="s">
        <v>1484</v>
      </c>
      <c r="E706" s="3" t="str">
        <f t="shared" si="42"/>
        <v xml:space="preserve">QK_USER_0                                    </v>
      </c>
      <c r="F706" s="3" t="s">
        <v>1472</v>
      </c>
      <c r="G706" s="3" t="str">
        <f t="shared" si="43"/>
        <v>0x7E40</v>
      </c>
      <c r="H706" s="3" t="s">
        <v>1483</v>
      </c>
      <c r="I706" s="3" t="str">
        <f t="shared" si="44"/>
        <v>#</v>
      </c>
      <c r="J706" s="5" t="s">
        <v>1482</v>
      </c>
      <c r="K706" s="2" t="str">
        <f t="shared" si="45"/>
        <v xml:space="preserve">    X (  QK_USER_0                                    , 0x7E40,    "#"     ) \</v>
      </c>
    </row>
    <row r="707" spans="1:11" x14ac:dyDescent="0.25">
      <c r="A707" s="2" t="s">
        <v>1410</v>
      </c>
      <c r="B707" s="2" t="s">
        <v>1411</v>
      </c>
      <c r="C707" s="3" t="s">
        <v>1479</v>
      </c>
      <c r="D707" s="4" t="s">
        <v>1484</v>
      </c>
      <c r="E707" s="3" t="str">
        <f t="shared" ref="E707:E737" si="46">LEFT(A707 &amp; REPT(" ",$E$1),$E$1)</f>
        <v xml:space="preserve">QK_USER_1                                    </v>
      </c>
      <c r="F707" s="3" t="s">
        <v>1472</v>
      </c>
      <c r="G707" s="3" t="str">
        <f t="shared" ref="G707:G737" si="47">B707</f>
        <v>0x7E41</v>
      </c>
      <c r="H707" s="3" t="s">
        <v>1483</v>
      </c>
      <c r="I707" s="3" t="str">
        <f t="shared" ref="I707:I737" si="48">IF(C707="","",C707)</f>
        <v>=</v>
      </c>
      <c r="J707" s="5" t="s">
        <v>1482</v>
      </c>
      <c r="K707" s="2" t="str">
        <f t="shared" ref="K707:K737" si="49">IF(I707="","",_xlfn.CONCAT(D707:J707))</f>
        <v xml:space="preserve">    X (  QK_USER_1                                    , 0x7E41,    "="     ) \</v>
      </c>
    </row>
    <row r="708" spans="1:11" x14ac:dyDescent="0.25">
      <c r="A708" s="2" t="s">
        <v>1412</v>
      </c>
      <c r="B708" s="2" t="s">
        <v>1413</v>
      </c>
      <c r="D708" s="4" t="s">
        <v>1484</v>
      </c>
      <c r="E708" s="3" t="str">
        <f t="shared" si="46"/>
        <v xml:space="preserve">QK_USER_2                                    </v>
      </c>
      <c r="F708" s="3" t="s">
        <v>1472</v>
      </c>
      <c r="G708" s="3" t="str">
        <f t="shared" si="47"/>
        <v>0x7E42</v>
      </c>
      <c r="H708" s="3" t="s">
        <v>1483</v>
      </c>
      <c r="I708" s="3" t="str">
        <f t="shared" si="48"/>
        <v/>
      </c>
      <c r="J708" s="5" t="s">
        <v>1482</v>
      </c>
      <c r="K708" s="2" t="str">
        <f t="shared" si="49"/>
        <v/>
      </c>
    </row>
    <row r="709" spans="1:11" x14ac:dyDescent="0.25">
      <c r="A709" s="2" t="s">
        <v>1414</v>
      </c>
      <c r="B709" s="2" t="s">
        <v>1415</v>
      </c>
      <c r="D709" s="4" t="s">
        <v>1484</v>
      </c>
      <c r="E709" s="3" t="str">
        <f t="shared" si="46"/>
        <v xml:space="preserve">QK_USER_3                                    </v>
      </c>
      <c r="F709" s="3" t="s">
        <v>1472</v>
      </c>
      <c r="G709" s="3" t="str">
        <f t="shared" si="47"/>
        <v>0x7E43</v>
      </c>
      <c r="H709" s="3" t="s">
        <v>1483</v>
      </c>
      <c r="I709" s="3" t="str">
        <f t="shared" si="48"/>
        <v/>
      </c>
      <c r="J709" s="5" t="s">
        <v>1482</v>
      </c>
      <c r="K709" s="2" t="str">
        <f t="shared" si="49"/>
        <v/>
      </c>
    </row>
    <row r="710" spans="1:11" x14ac:dyDescent="0.25">
      <c r="A710" s="2" t="s">
        <v>1416</v>
      </c>
      <c r="B710" s="2" t="s">
        <v>1417</v>
      </c>
      <c r="D710" s="4" t="s">
        <v>1484</v>
      </c>
      <c r="E710" s="3" t="str">
        <f t="shared" si="46"/>
        <v xml:space="preserve">QK_USER_4                                    </v>
      </c>
      <c r="F710" s="3" t="s">
        <v>1472</v>
      </c>
      <c r="G710" s="3" t="str">
        <f t="shared" si="47"/>
        <v>0x7E44</v>
      </c>
      <c r="H710" s="3" t="s">
        <v>1483</v>
      </c>
      <c r="I710" s="3" t="str">
        <f t="shared" si="48"/>
        <v/>
      </c>
      <c r="J710" s="5" t="s">
        <v>1482</v>
      </c>
      <c r="K710" s="2" t="str">
        <f t="shared" si="49"/>
        <v/>
      </c>
    </row>
    <row r="711" spans="1:11" x14ac:dyDescent="0.25">
      <c r="A711" s="2" t="s">
        <v>1418</v>
      </c>
      <c r="B711" s="2" t="s">
        <v>1419</v>
      </c>
      <c r="D711" s="4" t="s">
        <v>1484</v>
      </c>
      <c r="E711" s="3" t="str">
        <f t="shared" si="46"/>
        <v xml:space="preserve">QK_USER_5                                    </v>
      </c>
      <c r="F711" s="3" t="s">
        <v>1472</v>
      </c>
      <c r="G711" s="3" t="str">
        <f t="shared" si="47"/>
        <v>0x7E45</v>
      </c>
      <c r="H711" s="3" t="s">
        <v>1483</v>
      </c>
      <c r="I711" s="3" t="str">
        <f t="shared" si="48"/>
        <v/>
      </c>
      <c r="J711" s="5" t="s">
        <v>1482</v>
      </c>
      <c r="K711" s="2" t="str">
        <f t="shared" si="49"/>
        <v/>
      </c>
    </row>
    <row r="712" spans="1:11" x14ac:dyDescent="0.25">
      <c r="A712" s="2" t="s">
        <v>1420</v>
      </c>
      <c r="B712" s="2" t="s">
        <v>1421</v>
      </c>
      <c r="D712" s="4" t="s">
        <v>1484</v>
      </c>
      <c r="E712" s="3" t="str">
        <f t="shared" si="46"/>
        <v xml:space="preserve">QK_USER_6                                    </v>
      </c>
      <c r="F712" s="3" t="s">
        <v>1472</v>
      </c>
      <c r="G712" s="3" t="str">
        <f t="shared" si="47"/>
        <v>0x7E46</v>
      </c>
      <c r="H712" s="3" t="s">
        <v>1483</v>
      </c>
      <c r="I712" s="3" t="str">
        <f t="shared" si="48"/>
        <v/>
      </c>
      <c r="J712" s="5" t="s">
        <v>1482</v>
      </c>
      <c r="K712" s="2" t="str">
        <f t="shared" si="49"/>
        <v/>
      </c>
    </row>
    <row r="713" spans="1:11" x14ac:dyDescent="0.25">
      <c r="A713" s="2" t="s">
        <v>1422</v>
      </c>
      <c r="B713" s="2" t="s">
        <v>1423</v>
      </c>
      <c r="D713" s="4" t="s">
        <v>1484</v>
      </c>
      <c r="E713" s="3" t="str">
        <f t="shared" si="46"/>
        <v xml:space="preserve">QK_USER_7                                    </v>
      </c>
      <c r="F713" s="3" t="s">
        <v>1472</v>
      </c>
      <c r="G713" s="3" t="str">
        <f t="shared" si="47"/>
        <v>0x7E47</v>
      </c>
      <c r="H713" s="3" t="s">
        <v>1483</v>
      </c>
      <c r="I713" s="3" t="str">
        <f t="shared" si="48"/>
        <v/>
      </c>
      <c r="J713" s="5" t="s">
        <v>1482</v>
      </c>
      <c r="K713" s="2" t="str">
        <f t="shared" si="49"/>
        <v/>
      </c>
    </row>
    <row r="714" spans="1:11" x14ac:dyDescent="0.25">
      <c r="A714" s="2" t="s">
        <v>1424</v>
      </c>
      <c r="B714" s="2" t="s">
        <v>1425</v>
      </c>
      <c r="D714" s="4" t="s">
        <v>1484</v>
      </c>
      <c r="E714" s="3" t="str">
        <f t="shared" si="46"/>
        <v xml:space="preserve">QK_USER_8                                    </v>
      </c>
      <c r="F714" s="3" t="s">
        <v>1472</v>
      </c>
      <c r="G714" s="3" t="str">
        <f t="shared" si="47"/>
        <v>0x7E48</v>
      </c>
      <c r="H714" s="3" t="s">
        <v>1483</v>
      </c>
      <c r="I714" s="3" t="str">
        <f t="shared" si="48"/>
        <v/>
      </c>
      <c r="J714" s="5" t="s">
        <v>1482</v>
      </c>
      <c r="K714" s="2" t="str">
        <f t="shared" si="49"/>
        <v/>
      </c>
    </row>
    <row r="715" spans="1:11" x14ac:dyDescent="0.25">
      <c r="A715" s="2" t="s">
        <v>1426</v>
      </c>
      <c r="B715" s="2" t="s">
        <v>1427</v>
      </c>
      <c r="D715" s="4" t="s">
        <v>1484</v>
      </c>
      <c r="E715" s="3" t="str">
        <f t="shared" si="46"/>
        <v xml:space="preserve">QK_USER_9                                    </v>
      </c>
      <c r="F715" s="3" t="s">
        <v>1472</v>
      </c>
      <c r="G715" s="3" t="str">
        <f t="shared" si="47"/>
        <v>0x7E49</v>
      </c>
      <c r="H715" s="3" t="s">
        <v>1483</v>
      </c>
      <c r="I715" s="3" t="str">
        <f t="shared" si="48"/>
        <v/>
      </c>
      <c r="J715" s="5" t="s">
        <v>1482</v>
      </c>
      <c r="K715" s="2" t="str">
        <f t="shared" si="49"/>
        <v/>
      </c>
    </row>
    <row r="716" spans="1:11" x14ac:dyDescent="0.25">
      <c r="A716" s="2" t="s">
        <v>1428</v>
      </c>
      <c r="B716" s="2" t="s">
        <v>1429</v>
      </c>
      <c r="D716" s="4" t="s">
        <v>1484</v>
      </c>
      <c r="E716" s="3" t="str">
        <f t="shared" si="46"/>
        <v xml:space="preserve">QK_USER_10                                   </v>
      </c>
      <c r="F716" s="3" t="s">
        <v>1472</v>
      </c>
      <c r="G716" s="3" t="str">
        <f t="shared" si="47"/>
        <v>0x7E4A</v>
      </c>
      <c r="H716" s="3" t="s">
        <v>1483</v>
      </c>
      <c r="I716" s="3" t="str">
        <f t="shared" si="48"/>
        <v/>
      </c>
      <c r="J716" s="5" t="s">
        <v>1482</v>
      </c>
      <c r="K716" s="2" t="str">
        <f t="shared" si="49"/>
        <v/>
      </c>
    </row>
    <row r="717" spans="1:11" x14ac:dyDescent="0.25">
      <c r="A717" s="2" t="s">
        <v>1430</v>
      </c>
      <c r="B717" s="2" t="s">
        <v>1431</v>
      </c>
      <c r="D717" s="4" t="s">
        <v>1484</v>
      </c>
      <c r="E717" s="3" t="str">
        <f t="shared" si="46"/>
        <v xml:space="preserve">QK_USER_11                                   </v>
      </c>
      <c r="F717" s="3" t="s">
        <v>1472</v>
      </c>
      <c r="G717" s="3" t="str">
        <f t="shared" si="47"/>
        <v>0x7E4B</v>
      </c>
      <c r="H717" s="3" t="s">
        <v>1483</v>
      </c>
      <c r="I717" s="3" t="str">
        <f t="shared" si="48"/>
        <v/>
      </c>
      <c r="J717" s="5" t="s">
        <v>1482</v>
      </c>
      <c r="K717" s="2" t="str">
        <f t="shared" si="49"/>
        <v/>
      </c>
    </row>
    <row r="718" spans="1:11" x14ac:dyDescent="0.25">
      <c r="A718" s="2" t="s">
        <v>1432</v>
      </c>
      <c r="B718" s="2" t="s">
        <v>1433</v>
      </c>
      <c r="D718" s="4" t="s">
        <v>1484</v>
      </c>
      <c r="E718" s="3" t="str">
        <f t="shared" si="46"/>
        <v xml:space="preserve">QK_USER_12                                   </v>
      </c>
      <c r="F718" s="3" t="s">
        <v>1472</v>
      </c>
      <c r="G718" s="3" t="str">
        <f t="shared" si="47"/>
        <v>0x7E4C</v>
      </c>
      <c r="H718" s="3" t="s">
        <v>1483</v>
      </c>
      <c r="I718" s="3" t="str">
        <f t="shared" si="48"/>
        <v/>
      </c>
      <c r="J718" s="5" t="s">
        <v>1482</v>
      </c>
      <c r="K718" s="2" t="str">
        <f t="shared" si="49"/>
        <v/>
      </c>
    </row>
    <row r="719" spans="1:11" x14ac:dyDescent="0.25">
      <c r="A719" s="2" t="s">
        <v>1434</v>
      </c>
      <c r="B719" s="2" t="s">
        <v>1435</v>
      </c>
      <c r="D719" s="4" t="s">
        <v>1484</v>
      </c>
      <c r="E719" s="3" t="str">
        <f t="shared" si="46"/>
        <v xml:space="preserve">QK_USER_13                                   </v>
      </c>
      <c r="F719" s="3" t="s">
        <v>1472</v>
      </c>
      <c r="G719" s="3" t="str">
        <f t="shared" si="47"/>
        <v>0x7E4D</v>
      </c>
      <c r="H719" s="3" t="s">
        <v>1483</v>
      </c>
      <c r="I719" s="3" t="str">
        <f t="shared" si="48"/>
        <v/>
      </c>
      <c r="J719" s="5" t="s">
        <v>1482</v>
      </c>
      <c r="K719" s="2" t="str">
        <f t="shared" si="49"/>
        <v/>
      </c>
    </row>
    <row r="720" spans="1:11" x14ac:dyDescent="0.25">
      <c r="A720" s="2" t="s">
        <v>1436</v>
      </c>
      <c r="B720" s="2" t="s">
        <v>1437</v>
      </c>
      <c r="D720" s="4" t="s">
        <v>1484</v>
      </c>
      <c r="E720" s="3" t="str">
        <f t="shared" si="46"/>
        <v xml:space="preserve">QK_USER_14                                   </v>
      </c>
      <c r="F720" s="3" t="s">
        <v>1472</v>
      </c>
      <c r="G720" s="3" t="str">
        <f t="shared" si="47"/>
        <v>0x7E4E</v>
      </c>
      <c r="H720" s="3" t="s">
        <v>1483</v>
      </c>
      <c r="I720" s="3" t="str">
        <f t="shared" si="48"/>
        <v/>
      </c>
      <c r="J720" s="5" t="s">
        <v>1482</v>
      </c>
      <c r="K720" s="2" t="str">
        <f t="shared" si="49"/>
        <v/>
      </c>
    </row>
    <row r="721" spans="1:11" x14ac:dyDescent="0.25">
      <c r="A721" s="2" t="s">
        <v>1438</v>
      </c>
      <c r="B721" s="2" t="s">
        <v>1439</v>
      </c>
      <c r="D721" s="4" t="s">
        <v>1484</v>
      </c>
      <c r="E721" s="3" t="str">
        <f t="shared" si="46"/>
        <v xml:space="preserve">QK_USER_15                                   </v>
      </c>
      <c r="F721" s="3" t="s">
        <v>1472</v>
      </c>
      <c r="G721" s="3" t="str">
        <f t="shared" si="47"/>
        <v>0x7E4F</v>
      </c>
      <c r="H721" s="3" t="s">
        <v>1483</v>
      </c>
      <c r="I721" s="3" t="str">
        <f t="shared" si="48"/>
        <v/>
      </c>
      <c r="J721" s="5" t="s">
        <v>1482</v>
      </c>
      <c r="K721" s="2" t="str">
        <f t="shared" si="49"/>
        <v/>
      </c>
    </row>
    <row r="722" spans="1:11" x14ac:dyDescent="0.25">
      <c r="A722" s="2" t="s">
        <v>1440</v>
      </c>
      <c r="B722" s="2" t="s">
        <v>1441</v>
      </c>
      <c r="D722" s="4" t="s">
        <v>1484</v>
      </c>
      <c r="E722" s="3" t="str">
        <f t="shared" si="46"/>
        <v xml:space="preserve">QK_USER_16                                   </v>
      </c>
      <c r="F722" s="3" t="s">
        <v>1472</v>
      </c>
      <c r="G722" s="3" t="str">
        <f t="shared" si="47"/>
        <v>0x7E50</v>
      </c>
      <c r="H722" s="3" t="s">
        <v>1483</v>
      </c>
      <c r="I722" s="3" t="str">
        <f t="shared" si="48"/>
        <v/>
      </c>
      <c r="J722" s="5" t="s">
        <v>1482</v>
      </c>
      <c r="K722" s="2" t="str">
        <f t="shared" si="49"/>
        <v/>
      </c>
    </row>
    <row r="723" spans="1:11" x14ac:dyDescent="0.25">
      <c r="A723" s="2" t="s">
        <v>1442</v>
      </c>
      <c r="B723" s="2" t="s">
        <v>1443</v>
      </c>
      <c r="D723" s="4" t="s">
        <v>1484</v>
      </c>
      <c r="E723" s="3" t="str">
        <f t="shared" si="46"/>
        <v xml:space="preserve">QK_USER_17                                   </v>
      </c>
      <c r="F723" s="3" t="s">
        <v>1472</v>
      </c>
      <c r="G723" s="3" t="str">
        <f t="shared" si="47"/>
        <v>0x7E51</v>
      </c>
      <c r="H723" s="3" t="s">
        <v>1483</v>
      </c>
      <c r="I723" s="3" t="str">
        <f t="shared" si="48"/>
        <v/>
      </c>
      <c r="J723" s="5" t="s">
        <v>1482</v>
      </c>
      <c r="K723" s="2" t="str">
        <f t="shared" si="49"/>
        <v/>
      </c>
    </row>
    <row r="724" spans="1:11" x14ac:dyDescent="0.25">
      <c r="A724" s="2" t="s">
        <v>1444</v>
      </c>
      <c r="B724" s="2" t="s">
        <v>1445</v>
      </c>
      <c r="D724" s="4" t="s">
        <v>1484</v>
      </c>
      <c r="E724" s="3" t="str">
        <f t="shared" si="46"/>
        <v xml:space="preserve">QK_USER_18                                   </v>
      </c>
      <c r="F724" s="3" t="s">
        <v>1472</v>
      </c>
      <c r="G724" s="3" t="str">
        <f t="shared" si="47"/>
        <v>0x7E52</v>
      </c>
      <c r="H724" s="3" t="s">
        <v>1483</v>
      </c>
      <c r="I724" s="3" t="str">
        <f t="shared" si="48"/>
        <v/>
      </c>
      <c r="J724" s="5" t="s">
        <v>1482</v>
      </c>
      <c r="K724" s="2" t="str">
        <f t="shared" si="49"/>
        <v/>
      </c>
    </row>
    <row r="725" spans="1:11" x14ac:dyDescent="0.25">
      <c r="A725" s="2" t="s">
        <v>1446</v>
      </c>
      <c r="B725" s="2" t="s">
        <v>1447</v>
      </c>
      <c r="D725" s="4" t="s">
        <v>1484</v>
      </c>
      <c r="E725" s="3" t="str">
        <f t="shared" si="46"/>
        <v xml:space="preserve">QK_USER_19                                   </v>
      </c>
      <c r="F725" s="3" t="s">
        <v>1472</v>
      </c>
      <c r="G725" s="3" t="str">
        <f t="shared" si="47"/>
        <v>0x7E53</v>
      </c>
      <c r="H725" s="3" t="s">
        <v>1483</v>
      </c>
      <c r="I725" s="3" t="str">
        <f t="shared" si="48"/>
        <v/>
      </c>
      <c r="J725" s="5" t="s">
        <v>1482</v>
      </c>
      <c r="K725" s="2" t="str">
        <f t="shared" si="49"/>
        <v/>
      </c>
    </row>
    <row r="726" spans="1:11" x14ac:dyDescent="0.25">
      <c r="A726" s="2" t="s">
        <v>1448</v>
      </c>
      <c r="B726" s="2" t="s">
        <v>1449</v>
      </c>
      <c r="D726" s="4" t="s">
        <v>1484</v>
      </c>
      <c r="E726" s="3" t="str">
        <f t="shared" si="46"/>
        <v xml:space="preserve">QK_USER_20                                   </v>
      </c>
      <c r="F726" s="3" t="s">
        <v>1472</v>
      </c>
      <c r="G726" s="3" t="str">
        <f t="shared" si="47"/>
        <v>0x7E54</v>
      </c>
      <c r="H726" s="3" t="s">
        <v>1483</v>
      </c>
      <c r="I726" s="3" t="str">
        <f t="shared" si="48"/>
        <v/>
      </c>
      <c r="J726" s="5" t="s">
        <v>1482</v>
      </c>
      <c r="K726" s="2" t="str">
        <f t="shared" si="49"/>
        <v/>
      </c>
    </row>
    <row r="727" spans="1:11" x14ac:dyDescent="0.25">
      <c r="A727" s="2" t="s">
        <v>1450</v>
      </c>
      <c r="B727" s="2" t="s">
        <v>1451</v>
      </c>
      <c r="D727" s="4" t="s">
        <v>1484</v>
      </c>
      <c r="E727" s="3" t="str">
        <f t="shared" si="46"/>
        <v xml:space="preserve">QK_USER_21                                   </v>
      </c>
      <c r="F727" s="3" t="s">
        <v>1472</v>
      </c>
      <c r="G727" s="3" t="str">
        <f t="shared" si="47"/>
        <v>0x7E55</v>
      </c>
      <c r="H727" s="3" t="s">
        <v>1483</v>
      </c>
      <c r="I727" s="3" t="str">
        <f t="shared" si="48"/>
        <v/>
      </c>
      <c r="J727" s="5" t="s">
        <v>1482</v>
      </c>
      <c r="K727" s="2" t="str">
        <f t="shared" si="49"/>
        <v/>
      </c>
    </row>
    <row r="728" spans="1:11" x14ac:dyDescent="0.25">
      <c r="A728" s="2" t="s">
        <v>1452</v>
      </c>
      <c r="B728" s="2" t="s">
        <v>1453</v>
      </c>
      <c r="D728" s="4" t="s">
        <v>1484</v>
      </c>
      <c r="E728" s="3" t="str">
        <f t="shared" si="46"/>
        <v xml:space="preserve">QK_USER_22                                   </v>
      </c>
      <c r="F728" s="3" t="s">
        <v>1472</v>
      </c>
      <c r="G728" s="3" t="str">
        <f t="shared" si="47"/>
        <v>0x7E56</v>
      </c>
      <c r="H728" s="3" t="s">
        <v>1483</v>
      </c>
      <c r="I728" s="3" t="str">
        <f t="shared" si="48"/>
        <v/>
      </c>
      <c r="J728" s="5" t="s">
        <v>1482</v>
      </c>
      <c r="K728" s="2" t="str">
        <f t="shared" si="49"/>
        <v/>
      </c>
    </row>
    <row r="729" spans="1:11" x14ac:dyDescent="0.25">
      <c r="A729" s="2" t="s">
        <v>1454</v>
      </c>
      <c r="B729" s="2" t="s">
        <v>1455</v>
      </c>
      <c r="D729" s="4" t="s">
        <v>1484</v>
      </c>
      <c r="E729" s="3" t="str">
        <f t="shared" si="46"/>
        <v xml:space="preserve">QK_USER_23                                   </v>
      </c>
      <c r="F729" s="3" t="s">
        <v>1472</v>
      </c>
      <c r="G729" s="3" t="str">
        <f t="shared" si="47"/>
        <v>0x7E57</v>
      </c>
      <c r="H729" s="3" t="s">
        <v>1483</v>
      </c>
      <c r="I729" s="3" t="str">
        <f t="shared" si="48"/>
        <v/>
      </c>
      <c r="J729" s="5" t="s">
        <v>1482</v>
      </c>
      <c r="K729" s="2" t="str">
        <f t="shared" si="49"/>
        <v/>
      </c>
    </row>
    <row r="730" spans="1:11" x14ac:dyDescent="0.25">
      <c r="A730" s="2" t="s">
        <v>1456</v>
      </c>
      <c r="B730" s="2" t="s">
        <v>1457</v>
      </c>
      <c r="D730" s="4" t="s">
        <v>1484</v>
      </c>
      <c r="E730" s="3" t="str">
        <f t="shared" si="46"/>
        <v xml:space="preserve">QK_USER_24                                   </v>
      </c>
      <c r="F730" s="3" t="s">
        <v>1472</v>
      </c>
      <c r="G730" s="3" t="str">
        <f t="shared" si="47"/>
        <v>0x7E58</v>
      </c>
      <c r="H730" s="3" t="s">
        <v>1483</v>
      </c>
      <c r="I730" s="3" t="str">
        <f t="shared" si="48"/>
        <v/>
      </c>
      <c r="J730" s="5" t="s">
        <v>1482</v>
      </c>
      <c r="K730" s="2" t="str">
        <f t="shared" si="49"/>
        <v/>
      </c>
    </row>
    <row r="731" spans="1:11" x14ac:dyDescent="0.25">
      <c r="A731" s="2" t="s">
        <v>1458</v>
      </c>
      <c r="B731" s="2" t="s">
        <v>1459</v>
      </c>
      <c r="D731" s="4" t="s">
        <v>1484</v>
      </c>
      <c r="E731" s="3" t="str">
        <f t="shared" si="46"/>
        <v xml:space="preserve">QK_USER_25                                   </v>
      </c>
      <c r="F731" s="3" t="s">
        <v>1472</v>
      </c>
      <c r="G731" s="3" t="str">
        <f t="shared" si="47"/>
        <v>0x7E59</v>
      </c>
      <c r="H731" s="3" t="s">
        <v>1483</v>
      </c>
      <c r="I731" s="3" t="str">
        <f t="shared" si="48"/>
        <v/>
      </c>
      <c r="J731" s="5" t="s">
        <v>1482</v>
      </c>
      <c r="K731" s="2" t="str">
        <f t="shared" si="49"/>
        <v/>
      </c>
    </row>
    <row r="732" spans="1:11" x14ac:dyDescent="0.25">
      <c r="A732" s="2" t="s">
        <v>1460</v>
      </c>
      <c r="B732" s="2" t="s">
        <v>1461</v>
      </c>
      <c r="D732" s="4" t="s">
        <v>1484</v>
      </c>
      <c r="E732" s="3" t="str">
        <f t="shared" si="46"/>
        <v xml:space="preserve">QK_USER_26                                   </v>
      </c>
      <c r="F732" s="3" t="s">
        <v>1472</v>
      </c>
      <c r="G732" s="3" t="str">
        <f t="shared" si="47"/>
        <v>0x7E5A</v>
      </c>
      <c r="H732" s="3" t="s">
        <v>1483</v>
      </c>
      <c r="I732" s="3" t="str">
        <f t="shared" si="48"/>
        <v/>
      </c>
      <c r="J732" s="5" t="s">
        <v>1482</v>
      </c>
      <c r="K732" s="2" t="str">
        <f t="shared" si="49"/>
        <v/>
      </c>
    </row>
    <row r="733" spans="1:11" x14ac:dyDescent="0.25">
      <c r="A733" s="2" t="s">
        <v>1462</v>
      </c>
      <c r="B733" s="2" t="s">
        <v>1463</v>
      </c>
      <c r="D733" s="4" t="s">
        <v>1484</v>
      </c>
      <c r="E733" s="3" t="str">
        <f t="shared" si="46"/>
        <v xml:space="preserve">QK_USER_27                                   </v>
      </c>
      <c r="F733" s="3" t="s">
        <v>1472</v>
      </c>
      <c r="G733" s="3" t="str">
        <f t="shared" si="47"/>
        <v>0x7E5B</v>
      </c>
      <c r="H733" s="3" t="s">
        <v>1483</v>
      </c>
      <c r="I733" s="3" t="str">
        <f t="shared" si="48"/>
        <v/>
      </c>
      <c r="J733" s="5" t="s">
        <v>1482</v>
      </c>
      <c r="K733" s="2" t="str">
        <f t="shared" si="49"/>
        <v/>
      </c>
    </row>
    <row r="734" spans="1:11" x14ac:dyDescent="0.25">
      <c r="A734" s="2" t="s">
        <v>1464</v>
      </c>
      <c r="B734" s="2" t="s">
        <v>1465</v>
      </c>
      <c r="D734" s="4" t="s">
        <v>1484</v>
      </c>
      <c r="E734" s="3" t="str">
        <f t="shared" si="46"/>
        <v xml:space="preserve">QK_USER_28                                   </v>
      </c>
      <c r="F734" s="3" t="s">
        <v>1472</v>
      </c>
      <c r="G734" s="3" t="str">
        <f t="shared" si="47"/>
        <v>0x7E5C</v>
      </c>
      <c r="H734" s="3" t="s">
        <v>1483</v>
      </c>
      <c r="I734" s="3" t="str">
        <f t="shared" si="48"/>
        <v/>
      </c>
      <c r="J734" s="5" t="s">
        <v>1482</v>
      </c>
      <c r="K734" s="2" t="str">
        <f t="shared" si="49"/>
        <v/>
      </c>
    </row>
    <row r="735" spans="1:11" x14ac:dyDescent="0.25">
      <c r="A735" s="2" t="s">
        <v>1466</v>
      </c>
      <c r="B735" s="2" t="s">
        <v>1467</v>
      </c>
      <c r="D735" s="4" t="s">
        <v>1484</v>
      </c>
      <c r="E735" s="3" t="str">
        <f t="shared" si="46"/>
        <v xml:space="preserve">QK_USER_29                                   </v>
      </c>
      <c r="F735" s="3" t="s">
        <v>1472</v>
      </c>
      <c r="G735" s="3" t="str">
        <f t="shared" si="47"/>
        <v>0x7E5D</v>
      </c>
      <c r="H735" s="3" t="s">
        <v>1483</v>
      </c>
      <c r="I735" s="3" t="str">
        <f t="shared" si="48"/>
        <v/>
      </c>
      <c r="J735" s="5" t="s">
        <v>1482</v>
      </c>
      <c r="K735" s="2" t="str">
        <f t="shared" si="49"/>
        <v/>
      </c>
    </row>
    <row r="736" spans="1:11" x14ac:dyDescent="0.25">
      <c r="A736" s="2" t="s">
        <v>1468</v>
      </c>
      <c r="B736" s="2" t="s">
        <v>1469</v>
      </c>
      <c r="D736" s="4" t="s">
        <v>1484</v>
      </c>
      <c r="E736" s="3" t="str">
        <f t="shared" si="46"/>
        <v xml:space="preserve">QK_USER_30                                   </v>
      </c>
      <c r="F736" s="3" t="s">
        <v>1472</v>
      </c>
      <c r="G736" s="3" t="str">
        <f t="shared" si="47"/>
        <v>0x7E5E</v>
      </c>
      <c r="H736" s="3" t="s">
        <v>1483</v>
      </c>
      <c r="I736" s="3" t="str">
        <f t="shared" si="48"/>
        <v/>
      </c>
      <c r="J736" s="5" t="s">
        <v>1482</v>
      </c>
      <c r="K736" s="2" t="str">
        <f t="shared" si="49"/>
        <v/>
      </c>
    </row>
    <row r="737" spans="1:11" x14ac:dyDescent="0.25">
      <c r="A737" s="2" t="s">
        <v>1470</v>
      </c>
      <c r="B737" s="2" t="s">
        <v>1471</v>
      </c>
      <c r="D737" s="4" t="s">
        <v>1484</v>
      </c>
      <c r="E737" s="3" t="str">
        <f t="shared" si="46"/>
        <v xml:space="preserve">QK_USER_31                                   </v>
      </c>
      <c r="F737" s="3" t="s">
        <v>1472</v>
      </c>
      <c r="G737" s="3" t="str">
        <f t="shared" si="47"/>
        <v>0x7E5F</v>
      </c>
      <c r="H737" s="3" t="s">
        <v>1483</v>
      </c>
      <c r="I737" s="3" t="str">
        <f t="shared" si="48"/>
        <v/>
      </c>
      <c r="J737" s="5" t="s">
        <v>1482</v>
      </c>
      <c r="K737" s="2" t="str">
        <f t="shared" si="49"/>
        <v/>
      </c>
    </row>
    <row r="740" spans="1:11" x14ac:dyDescent="0.25">
      <c r="C740" s="2"/>
    </row>
    <row r="741" spans="1:11" x14ac:dyDescent="0.25">
      <c r="C741" s="2"/>
    </row>
    <row r="742" spans="1:11" x14ac:dyDescent="0.25">
      <c r="C742" s="2"/>
    </row>
    <row r="743" spans="1:11" x14ac:dyDescent="0.25">
      <c r="C743" s="2"/>
    </row>
    <row r="744" spans="1:11" x14ac:dyDescent="0.25">
      <c r="C744" s="2"/>
    </row>
    <row r="745" spans="1:11" x14ac:dyDescent="0.25">
      <c r="C745" s="2"/>
    </row>
    <row r="746" spans="1:11" x14ac:dyDescent="0.25">
      <c r="C746" s="2"/>
    </row>
    <row r="747" spans="1:11" x14ac:dyDescent="0.25">
      <c r="C747" s="2"/>
    </row>
    <row r="748" spans="1:11" x14ac:dyDescent="0.25">
      <c r="C748" s="2"/>
    </row>
    <row r="749" spans="1:11" x14ac:dyDescent="0.25">
      <c r="C749" s="2"/>
    </row>
  </sheetData>
  <phoneticPr fontId="4" type="noConversion"/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A4DA-9994-4B24-9C1D-66621387D3A4}">
  <sheetPr filterMode="1"/>
  <dimension ref="A1:A1381"/>
  <sheetViews>
    <sheetView topLeftCell="A220" zoomScale="85" zoomScaleNormal="85" workbookViewId="0">
      <selection activeCell="A2" sqref="A2:A707"/>
    </sheetView>
  </sheetViews>
  <sheetFormatPr defaultRowHeight="15" x14ac:dyDescent="0.25"/>
  <cols>
    <col min="1" max="1" width="110.140625" style="1" bestFit="1" customWidth="1"/>
    <col min="2" max="16384" width="9.140625" style="1"/>
  </cols>
  <sheetData>
    <row r="1" spans="1:1" ht="15.75" x14ac:dyDescent="0.3">
      <c r="A1" s="12" t="s">
        <v>1529</v>
      </c>
    </row>
    <row r="2" spans="1:1" x14ac:dyDescent="0.25">
      <c r="A2" s="1" t="str">
        <f>IF(List!K2="","",List!K2)</f>
        <v/>
      </c>
    </row>
    <row r="3" spans="1:1" x14ac:dyDescent="0.25">
      <c r="A3" s="1" t="str">
        <f>IF(List!K3="","",List!K3)</f>
        <v/>
      </c>
    </row>
    <row r="4" spans="1:1" x14ac:dyDescent="0.25">
      <c r="A4" s="1" t="str">
        <f>IF(List!K4="","",List!K4)</f>
        <v xml:space="preserve">    X (  KC_A                                         , 0x0004,    "a"     ) \</v>
      </c>
    </row>
    <row r="5" spans="1:1" x14ac:dyDescent="0.25">
      <c r="A5" s="1" t="str">
        <f>IF(List!K5="","",List!K5)</f>
        <v xml:space="preserve">    X (  KC_B                                         , 0x0005,    "b"     ) \</v>
      </c>
    </row>
    <row r="6" spans="1:1" x14ac:dyDescent="0.25">
      <c r="A6" s="1" t="str">
        <f>IF(List!K6="","",List!K6)</f>
        <v xml:space="preserve">    X (  KC_C                                         , 0x0006,    "c"     ) \</v>
      </c>
    </row>
    <row r="7" spans="1:1" x14ac:dyDescent="0.25">
      <c r="A7" s="1" t="str">
        <f>IF(List!K7="","",List!K7)</f>
        <v xml:space="preserve">    X (  KC_D                                         , 0x0007,    "d"     ) \</v>
      </c>
    </row>
    <row r="8" spans="1:1" x14ac:dyDescent="0.25">
      <c r="A8" s="1" t="str">
        <f>IF(List!K8="","",List!K8)</f>
        <v xml:space="preserve">    X (  KC_E                                         , 0x0008,    "e"     ) \</v>
      </c>
    </row>
    <row r="9" spans="1:1" x14ac:dyDescent="0.25">
      <c r="A9" s="1" t="str">
        <f>IF(List!K9="","",List!K9)</f>
        <v xml:space="preserve">    X (  KC_F                                         , 0x0009,    "f"     ) \</v>
      </c>
    </row>
    <row r="10" spans="1:1" x14ac:dyDescent="0.25">
      <c r="A10" s="1" t="str">
        <f>IF(List!K10="","",List!K10)</f>
        <v xml:space="preserve">    X (  KC_G                                         , 0x000A,    "g"     ) \</v>
      </c>
    </row>
    <row r="11" spans="1:1" x14ac:dyDescent="0.25">
      <c r="A11" s="1" t="str">
        <f>IF(List!K11="","",List!K11)</f>
        <v xml:space="preserve">    X (  KC_H                                         , 0x000B,    "h"     ) \</v>
      </c>
    </row>
    <row r="12" spans="1:1" x14ac:dyDescent="0.25">
      <c r="A12" s="1" t="str">
        <f>IF(List!K12="","",List!K12)</f>
        <v xml:space="preserve">    X (  KC_I                                         , 0x000C,    "i"     ) \</v>
      </c>
    </row>
    <row r="13" spans="1:1" x14ac:dyDescent="0.25">
      <c r="A13" s="1" t="str">
        <f>IF(List!K13="","",List!K13)</f>
        <v xml:space="preserve">    X (  KC_J                                         , 0x000D,    "j"     ) \</v>
      </c>
    </row>
    <row r="14" spans="1:1" x14ac:dyDescent="0.25">
      <c r="A14" s="1" t="str">
        <f>IF(List!K14="","",List!K14)</f>
        <v xml:space="preserve">    X (  KC_K                                         , 0x000E,    "k"     ) \</v>
      </c>
    </row>
    <row r="15" spans="1:1" x14ac:dyDescent="0.25">
      <c r="A15" s="1" t="str">
        <f>IF(List!K15="","",List!K15)</f>
        <v xml:space="preserve">    X (  KC_L                                         , 0x000F,    "l"     ) \</v>
      </c>
    </row>
    <row r="16" spans="1:1" x14ac:dyDescent="0.25">
      <c r="A16" s="1" t="str">
        <f>IF(List!K16="","",List!K16)</f>
        <v xml:space="preserve">    X (  KC_M                                         , 0x0010,    "m"     ) \</v>
      </c>
    </row>
    <row r="17" spans="1:1" x14ac:dyDescent="0.25">
      <c r="A17" s="1" t="str">
        <f>IF(List!K17="","",List!K17)</f>
        <v xml:space="preserve">    X (  KC_N                                         , 0x0011,    "n"     ) \</v>
      </c>
    </row>
    <row r="18" spans="1:1" x14ac:dyDescent="0.25">
      <c r="A18" s="1" t="str">
        <f>IF(List!K18="","",List!K18)</f>
        <v xml:space="preserve">    X (  KC_O                                         , 0x0012,    "o"     ) \</v>
      </c>
    </row>
    <row r="19" spans="1:1" x14ac:dyDescent="0.25">
      <c r="A19" s="1" t="str">
        <f>IF(List!K19="","",List!K19)</f>
        <v xml:space="preserve">    X (  KC_P                                         , 0x0013,    "p"     ) \</v>
      </c>
    </row>
    <row r="20" spans="1:1" x14ac:dyDescent="0.25">
      <c r="A20" s="1" t="str">
        <f>IF(List!K20="","",List!K20)</f>
        <v xml:space="preserve">    X (  KC_Q                                         , 0x0014,    "q"     ) \</v>
      </c>
    </row>
    <row r="21" spans="1:1" x14ac:dyDescent="0.25">
      <c r="A21" s="1" t="str">
        <f>IF(List!K21="","",List!K21)</f>
        <v xml:space="preserve">    X (  KC_R                                         , 0x0015,    "r"     ) \</v>
      </c>
    </row>
    <row r="22" spans="1:1" x14ac:dyDescent="0.25">
      <c r="A22" s="1" t="str">
        <f>IF(List!K22="","",List!K22)</f>
        <v xml:space="preserve">    X (  KC_S                                         , 0x0016,    "s"     ) \</v>
      </c>
    </row>
    <row r="23" spans="1:1" x14ac:dyDescent="0.25">
      <c r="A23" s="1" t="str">
        <f>IF(List!K23="","",List!K23)</f>
        <v xml:space="preserve">    X (  KC_T                                         , 0x0017,    "t"     ) \</v>
      </c>
    </row>
    <row r="24" spans="1:1" x14ac:dyDescent="0.25">
      <c r="A24" s="1" t="str">
        <f>IF(List!K24="","",List!K24)</f>
        <v xml:space="preserve">    X (  KC_U                                         , 0x0018,    "u"     ) \</v>
      </c>
    </row>
    <row r="25" spans="1:1" x14ac:dyDescent="0.25">
      <c r="A25" s="1" t="str">
        <f>IF(List!K25="","",List!K25)</f>
        <v xml:space="preserve">    X (  KC_V                                         , 0x0019,    "v"     ) \</v>
      </c>
    </row>
    <row r="26" spans="1:1" x14ac:dyDescent="0.25">
      <c r="A26" s="1" t="str">
        <f>IF(List!K26="","",List!K26)</f>
        <v xml:space="preserve">    X (  KC_W                                         , 0x001A,    "w"     ) \</v>
      </c>
    </row>
    <row r="27" spans="1:1" x14ac:dyDescent="0.25">
      <c r="A27" s="1" t="str">
        <f>IF(List!K27="","",List!K27)</f>
        <v xml:space="preserve">    X (  KC_X                                         , 0x001B,    "x"     ) \</v>
      </c>
    </row>
    <row r="28" spans="1:1" x14ac:dyDescent="0.25">
      <c r="A28" s="1" t="str">
        <f>IF(List!K28="","",List!K28)</f>
        <v xml:space="preserve">    X (  KC_Y                                         , 0x001C,    "y"     ) \</v>
      </c>
    </row>
    <row r="29" spans="1:1" x14ac:dyDescent="0.25">
      <c r="A29" s="1" t="str">
        <f>IF(List!K29="","",List!K29)</f>
        <v xml:space="preserve">    X (  KC_Z                                         , 0x001D,    "z"     ) \</v>
      </c>
    </row>
    <row r="30" spans="1:1" x14ac:dyDescent="0.25">
      <c r="A30" s="1" t="str">
        <f>IF(List!K30="","",List!K30)</f>
        <v xml:space="preserve">    X (  KC_1                                         , 0x001E,    "1"     ) \</v>
      </c>
    </row>
    <row r="31" spans="1:1" x14ac:dyDescent="0.25">
      <c r="A31" s="1" t="str">
        <f>IF(List!K31="","",List!K31)</f>
        <v xml:space="preserve">    X (  KC_2                                         , 0x001F,    "2"     ) \</v>
      </c>
    </row>
    <row r="32" spans="1:1" x14ac:dyDescent="0.25">
      <c r="A32" s="1" t="str">
        <f>IF(List!K32="","",List!K32)</f>
        <v xml:space="preserve">    X (  KC_3                                         , 0x0020,    "3"     ) \</v>
      </c>
    </row>
    <row r="33" spans="1:1" x14ac:dyDescent="0.25">
      <c r="A33" s="1" t="str">
        <f>IF(List!K33="","",List!K33)</f>
        <v xml:space="preserve">    X (  KC_4                                         , 0x0021,    "4"     ) \</v>
      </c>
    </row>
    <row r="34" spans="1:1" x14ac:dyDescent="0.25">
      <c r="A34" s="1" t="str">
        <f>IF(List!K34="","",List!K34)</f>
        <v xml:space="preserve">    X (  KC_5                                         , 0x0022,    "5"     ) \</v>
      </c>
    </row>
    <row r="35" spans="1:1" x14ac:dyDescent="0.25">
      <c r="A35" s="1" t="str">
        <f>IF(List!K35="","",List!K35)</f>
        <v xml:space="preserve">    X (  KC_6                                         , 0x0023,    "6"     ) \</v>
      </c>
    </row>
    <row r="36" spans="1:1" x14ac:dyDescent="0.25">
      <c r="A36" s="1" t="str">
        <f>IF(List!K36="","",List!K36)</f>
        <v xml:space="preserve">    X (  KC_7                                         , 0x0024,    "7"     ) \</v>
      </c>
    </row>
    <row r="37" spans="1:1" x14ac:dyDescent="0.25">
      <c r="A37" s="1" t="str">
        <f>IF(List!K37="","",List!K37)</f>
        <v xml:space="preserve">    X (  KC_8                                         , 0x0025,    "8"     ) \</v>
      </c>
    </row>
    <row r="38" spans="1:1" x14ac:dyDescent="0.25">
      <c r="A38" s="1" t="str">
        <f>IF(List!K38="","",List!K38)</f>
        <v xml:space="preserve">    X (  KC_9                                         , 0x0026,    "9"     ) \</v>
      </c>
    </row>
    <row r="39" spans="1:1" x14ac:dyDescent="0.25">
      <c r="A39" s="1" t="str">
        <f>IF(List!K39="","",List!K39)</f>
        <v xml:space="preserve">    X (  KC_0                                         , 0x0027,    "0"     ) \</v>
      </c>
    </row>
    <row r="40" spans="1:1" x14ac:dyDescent="0.25">
      <c r="A40" s="1" t="str">
        <f>IF(List!K40="","",List!K40)</f>
        <v xml:space="preserve">    X (  KC_ENTER                                     , 0x0028,    "Ent"     ) \</v>
      </c>
    </row>
    <row r="41" spans="1:1" x14ac:dyDescent="0.25">
      <c r="A41" s="1" t="str">
        <f>IF(List!K41="","",List!K41)</f>
        <v xml:space="preserve">    X (  KC_ESCAPE                                    , 0x0029,    "Esc"     ) \</v>
      </c>
    </row>
    <row r="42" spans="1:1" x14ac:dyDescent="0.25">
      <c r="A42" s="1" t="str">
        <f>IF(List!K42="","",List!K42)</f>
        <v xml:space="preserve">    X (  KC_BACKSPACE                                 , 0x002A,    "BKSP"     ) \</v>
      </c>
    </row>
    <row r="43" spans="1:1" x14ac:dyDescent="0.25">
      <c r="A43" s="1" t="str">
        <f>IF(List!K43="","",List!K43)</f>
        <v xml:space="preserve">    X (  KC_TAB                                       , 0x002B,    "Tab"     ) \</v>
      </c>
    </row>
    <row r="44" spans="1:1" x14ac:dyDescent="0.25">
      <c r="A44" s="1" t="str">
        <f>IF(List!K44="","",List!K44)</f>
        <v xml:space="preserve">    X (  KC_SPACE                                     , 0x002C,    "_"     ) \</v>
      </c>
    </row>
    <row r="45" spans="1:1" x14ac:dyDescent="0.25">
      <c r="A45" s="1" t="str">
        <f>IF(List!K45="","",List!K45)</f>
        <v xml:space="preserve">    X (  KC_MINUS                                     , 0x002D,    "-"     ) \</v>
      </c>
    </row>
    <row r="46" spans="1:1" x14ac:dyDescent="0.25">
      <c r="A46" s="1" t="str">
        <f>IF(List!K46="","",List!K46)</f>
        <v xml:space="preserve">    X (  KC_EQUAL                                     , 0x002E,    "="     ) \</v>
      </c>
    </row>
    <row r="47" spans="1:1" hidden="1" x14ac:dyDescent="0.25">
      <c r="A47" s="1" t="str">
        <f>IF(List!K47="","",List!K47)</f>
        <v/>
      </c>
    </row>
    <row r="48" spans="1:1" hidden="1" x14ac:dyDescent="0.25">
      <c r="A48" s="1" t="str">
        <f>IF(List!K48="","",List!K48)</f>
        <v/>
      </c>
    </row>
    <row r="49" spans="1:1" hidden="1" x14ac:dyDescent="0.25">
      <c r="A49" s="1" t="str">
        <f>IF(List!K49="","",List!K49)</f>
        <v/>
      </c>
    </row>
    <row r="50" spans="1:1" hidden="1" x14ac:dyDescent="0.25">
      <c r="A50" s="1" t="str">
        <f>IF(List!K50="","",List!K50)</f>
        <v/>
      </c>
    </row>
    <row r="51" spans="1:1" hidden="1" x14ac:dyDescent="0.25">
      <c r="A51" s="1" t="str">
        <f>IF(List!K51="","",List!K51)</f>
        <v/>
      </c>
    </row>
    <row r="52" spans="1:1" hidden="1" x14ac:dyDescent="0.25">
      <c r="A52" s="1" t="str">
        <f>IF(List!K52="","",List!K52)</f>
        <v/>
      </c>
    </row>
    <row r="53" spans="1:1" hidden="1" x14ac:dyDescent="0.25">
      <c r="A53" s="1" t="str">
        <f>IF(List!K53="","",List!K53)</f>
        <v/>
      </c>
    </row>
    <row r="54" spans="1:1" hidden="1" x14ac:dyDescent="0.25">
      <c r="A54" s="1" t="str">
        <f>IF(List!K54="","",List!K54)</f>
        <v/>
      </c>
    </row>
    <row r="55" spans="1:1" hidden="1" x14ac:dyDescent="0.25">
      <c r="A55" s="1" t="str">
        <f>IF(List!K55="","",List!K55)</f>
        <v/>
      </c>
    </row>
    <row r="56" spans="1:1" hidden="1" x14ac:dyDescent="0.25">
      <c r="A56" s="1" t="str">
        <f>IF(List!K56="","",List!K56)</f>
        <v/>
      </c>
    </row>
    <row r="57" spans="1:1" hidden="1" x14ac:dyDescent="0.25">
      <c r="A57" s="1" t="str">
        <f>IF(List!K57="","",List!K57)</f>
        <v/>
      </c>
    </row>
    <row r="58" spans="1:1" x14ac:dyDescent="0.25">
      <c r="A58" s="1" t="str">
        <f>IF(List!K58="","",List!K58)</f>
        <v xml:space="preserve">    X (  KC_F1                                        , 0x003A,    "F1"     ) \</v>
      </c>
    </row>
    <row r="59" spans="1:1" x14ac:dyDescent="0.25">
      <c r="A59" s="1" t="str">
        <f>IF(List!K59="","",List!K59)</f>
        <v xml:space="preserve">    X (  KC_F2                                        , 0x003B,    "F2"     ) \</v>
      </c>
    </row>
    <row r="60" spans="1:1" x14ac:dyDescent="0.25">
      <c r="A60" s="1" t="str">
        <f>IF(List!K60="","",List!K60)</f>
        <v xml:space="preserve">    X (  KC_F3                                        , 0x003C,    "F3"     ) \</v>
      </c>
    </row>
    <row r="61" spans="1:1" x14ac:dyDescent="0.25">
      <c r="A61" s="1" t="str">
        <f>IF(List!K61="","",List!K61)</f>
        <v xml:space="preserve">    X (  KC_F4                                        , 0x003D,    "F4"     ) \</v>
      </c>
    </row>
    <row r="62" spans="1:1" x14ac:dyDescent="0.25">
      <c r="A62" s="1" t="str">
        <f>IF(List!K62="","",List!K62)</f>
        <v xml:space="preserve">    X (  KC_F5                                        , 0x003E,    "F5"     ) \</v>
      </c>
    </row>
    <row r="63" spans="1:1" x14ac:dyDescent="0.25">
      <c r="A63" s="1" t="str">
        <f>IF(List!K63="","",List!K63)</f>
        <v xml:space="preserve">    X (  KC_F6                                        , 0x003F,    "F6"     ) \</v>
      </c>
    </row>
    <row r="64" spans="1:1" x14ac:dyDescent="0.25">
      <c r="A64" s="1" t="str">
        <f>IF(List!K64="","",List!K64)</f>
        <v xml:space="preserve">    X (  KC_F7                                        , 0x0040,    "F7"     ) \</v>
      </c>
    </row>
    <row r="65" spans="1:1" x14ac:dyDescent="0.25">
      <c r="A65" s="1" t="str">
        <f>IF(List!K65="","",List!K65)</f>
        <v xml:space="preserve">    X (  KC_F8                                        , 0x0041,    "F8"     ) \</v>
      </c>
    </row>
    <row r="66" spans="1:1" x14ac:dyDescent="0.25">
      <c r="A66" s="1" t="str">
        <f>IF(List!K66="","",List!K66)</f>
        <v xml:space="preserve">    X (  KC_F9                                        , 0x0042,    "F9"     ) \</v>
      </c>
    </row>
    <row r="67" spans="1:1" x14ac:dyDescent="0.25">
      <c r="A67" s="1" t="str">
        <f>IF(List!K67="","",List!K67)</f>
        <v xml:space="preserve">    X (  KC_F10                                       , 0x0043,    "F10"     ) \</v>
      </c>
    </row>
    <row r="68" spans="1:1" x14ac:dyDescent="0.25">
      <c r="A68" s="1" t="str">
        <f>IF(List!K68="","",List!K68)</f>
        <v xml:space="preserve">    X (  KC_F11                                       , 0x0044,    "F11"     ) \</v>
      </c>
    </row>
    <row r="69" spans="1:1" x14ac:dyDescent="0.25">
      <c r="A69" s="1" t="str">
        <f>IF(List!K69="","",List!K69)</f>
        <v xml:space="preserve">    X (  KC_F12                                       , 0x0045,    "F12"     ) \</v>
      </c>
    </row>
    <row r="70" spans="1:1" hidden="1" x14ac:dyDescent="0.25">
      <c r="A70" s="1" t="str">
        <f>IF(List!K70="","",List!K70)</f>
        <v/>
      </c>
    </row>
    <row r="71" spans="1:1" hidden="1" x14ac:dyDescent="0.25">
      <c r="A71" s="1" t="str">
        <f>IF(List!K71="","",List!K71)</f>
        <v/>
      </c>
    </row>
    <row r="72" spans="1:1" hidden="1" x14ac:dyDescent="0.25">
      <c r="A72" s="1" t="str">
        <f>IF(List!K72="","",List!K72)</f>
        <v/>
      </c>
    </row>
    <row r="73" spans="1:1" hidden="1" x14ac:dyDescent="0.25">
      <c r="A73" s="1" t="str">
        <f>IF(List!K73="","",List!K73)</f>
        <v/>
      </c>
    </row>
    <row r="74" spans="1:1" hidden="1" x14ac:dyDescent="0.25">
      <c r="A74" s="1" t="str">
        <f>IF(List!K74="","",List!K74)</f>
        <v/>
      </c>
    </row>
    <row r="75" spans="1:1" hidden="1" x14ac:dyDescent="0.25">
      <c r="A75" s="1" t="str">
        <f>IF(List!K75="","",List!K75)</f>
        <v/>
      </c>
    </row>
    <row r="76" spans="1:1" hidden="1" x14ac:dyDescent="0.25">
      <c r="A76" s="1" t="str">
        <f>IF(List!K76="","",List!K76)</f>
        <v/>
      </c>
    </row>
    <row r="77" spans="1:1" hidden="1" x14ac:dyDescent="0.25">
      <c r="A77" s="1" t="str">
        <f>IF(List!K77="","",List!K77)</f>
        <v/>
      </c>
    </row>
    <row r="78" spans="1:1" hidden="1" x14ac:dyDescent="0.25">
      <c r="A78" s="1" t="str">
        <f>IF(List!K78="","",List!K78)</f>
        <v/>
      </c>
    </row>
    <row r="79" spans="1:1" hidden="1" x14ac:dyDescent="0.25">
      <c r="A79" s="1" t="str">
        <f>IF(List!K79="","",List!K79)</f>
        <v/>
      </c>
    </row>
    <row r="80" spans="1:1" hidden="1" x14ac:dyDescent="0.25">
      <c r="A80" s="1" t="str">
        <f>IF(List!K80="","",List!K80)</f>
        <v/>
      </c>
    </row>
    <row r="81" spans="1:1" hidden="1" x14ac:dyDescent="0.25">
      <c r="A81" s="1" t="str">
        <f>IF(List!K81="","",List!K81)</f>
        <v/>
      </c>
    </row>
    <row r="82" spans="1:1" hidden="1" x14ac:dyDescent="0.25">
      <c r="A82" s="1" t="str">
        <f>IF(List!K82="","",List!K82)</f>
        <v/>
      </c>
    </row>
    <row r="83" spans="1:1" x14ac:dyDescent="0.25">
      <c r="A83" s="1" t="str">
        <f>IF(List!K83="","",List!K83)</f>
        <v xml:space="preserve">    X (  KC_NUM_LOCK                                  , 0x0053,    "Num"     ) \</v>
      </c>
    </row>
    <row r="84" spans="1:1" x14ac:dyDescent="0.25">
      <c r="A84" s="1" t="str">
        <f>IF(List!K84="","",List!K84)</f>
        <v xml:space="preserve">    X (  KC_KP_SLASH                                  , 0x0054,    "/"     ) \</v>
      </c>
    </row>
    <row r="85" spans="1:1" x14ac:dyDescent="0.25">
      <c r="A85" s="1" t="str">
        <f>IF(List!K85="","",List!K85)</f>
        <v xml:space="preserve">    X (  KC_KP_ASTERISK                               , 0x0055,    "*"     ) \</v>
      </c>
    </row>
    <row r="86" spans="1:1" x14ac:dyDescent="0.25">
      <c r="A86" s="1" t="str">
        <f>IF(List!K86="","",List!K86)</f>
        <v xml:space="preserve">    X (  KC_KP_MINUS                                  , 0x0056,    "-"     ) \</v>
      </c>
    </row>
    <row r="87" spans="1:1" x14ac:dyDescent="0.25">
      <c r="A87" s="1" t="str">
        <f>IF(List!K87="","",List!K87)</f>
        <v xml:space="preserve">    X (  KC_KP_PLUS                                   , 0x0057,    "+"     ) \</v>
      </c>
    </row>
    <row r="88" spans="1:1" x14ac:dyDescent="0.25">
      <c r="A88" s="1" t="str">
        <f>IF(List!K88="","",List!K88)</f>
        <v xml:space="preserve">    X (  KC_KP_ENTER                                  , 0x0058,    "="     ) \</v>
      </c>
    </row>
    <row r="89" spans="1:1" x14ac:dyDescent="0.25">
      <c r="A89" s="1" t="str">
        <f>IF(List!K89="","",List!K89)</f>
        <v xml:space="preserve">    X (  KC_KP_1                                      , 0x0059,    "1"     ) \</v>
      </c>
    </row>
    <row r="90" spans="1:1" x14ac:dyDescent="0.25">
      <c r="A90" s="1" t="str">
        <f>IF(List!K90="","",List!K90)</f>
        <v xml:space="preserve">    X (  KC_KP_2                                      , 0x005A,    "2"     ) \</v>
      </c>
    </row>
    <row r="91" spans="1:1" x14ac:dyDescent="0.25">
      <c r="A91" s="1" t="str">
        <f>IF(List!K91="","",List!K91)</f>
        <v xml:space="preserve">    X (  KC_KP_3                                      , 0x005B,    "3"     ) \</v>
      </c>
    </row>
    <row r="92" spans="1:1" x14ac:dyDescent="0.25">
      <c r="A92" s="1" t="str">
        <f>IF(List!K92="","",List!K92)</f>
        <v xml:space="preserve">    X (  KC_KP_4                                      , 0x005C,    "4"     ) \</v>
      </c>
    </row>
    <row r="93" spans="1:1" x14ac:dyDescent="0.25">
      <c r="A93" s="1" t="str">
        <f>IF(List!K93="","",List!K93)</f>
        <v xml:space="preserve">    X (  KC_KP_5                                      , 0x005D,    "5"     ) \</v>
      </c>
    </row>
    <row r="94" spans="1:1" x14ac:dyDescent="0.25">
      <c r="A94" s="1" t="str">
        <f>IF(List!K94="","",List!K94)</f>
        <v xml:space="preserve">    X (  KC_KP_6                                      , 0x005E,    "6"     ) \</v>
      </c>
    </row>
    <row r="95" spans="1:1" x14ac:dyDescent="0.25">
      <c r="A95" s="1" t="str">
        <f>IF(List!K95="","",List!K95)</f>
        <v xml:space="preserve">    X (  KC_KP_7                                      , 0x005F,    "7"     ) \</v>
      </c>
    </row>
    <row r="96" spans="1:1" x14ac:dyDescent="0.25">
      <c r="A96" s="1" t="str">
        <f>IF(List!K96="","",List!K96)</f>
        <v xml:space="preserve">    X (  KC_KP_8                                      , 0x0060,    "8"     ) \</v>
      </c>
    </row>
    <row r="97" spans="1:1" x14ac:dyDescent="0.25">
      <c r="A97" s="1" t="str">
        <f>IF(List!K97="","",List!K97)</f>
        <v xml:space="preserve">    X (  KC_KP_9                                      , 0x0061,    "9"     ) \</v>
      </c>
    </row>
    <row r="98" spans="1:1" x14ac:dyDescent="0.25">
      <c r="A98" s="1" t="str">
        <f>IF(List!K98="","",List!K98)</f>
        <v xml:space="preserve">    X (  KC_KP_0                                      , 0x0062,    "0"     ) \</v>
      </c>
    </row>
    <row r="99" spans="1:1" x14ac:dyDescent="0.25">
      <c r="A99" s="1" t="str">
        <f>IF(List!K99="","",List!K99)</f>
        <v xml:space="preserve">    X (  KC_KP_DOT                                    , 0x0063,    "."     ) \</v>
      </c>
    </row>
    <row r="100" spans="1:1" hidden="1" x14ac:dyDescent="0.25">
      <c r="A100" s="1" t="str">
        <f>IF(List!K100="","",List!K100)</f>
        <v/>
      </c>
    </row>
    <row r="101" spans="1:1" hidden="1" x14ac:dyDescent="0.25">
      <c r="A101" s="1" t="str">
        <f>IF(List!K101="","",List!K101)</f>
        <v/>
      </c>
    </row>
    <row r="102" spans="1:1" hidden="1" x14ac:dyDescent="0.25">
      <c r="A102" s="1" t="str">
        <f>IF(List!K102="","",List!K102)</f>
        <v/>
      </c>
    </row>
    <row r="103" spans="1:1" hidden="1" x14ac:dyDescent="0.25">
      <c r="A103" s="1" t="str">
        <f>IF(List!K103="","",List!K103)</f>
        <v/>
      </c>
    </row>
    <row r="104" spans="1:1" x14ac:dyDescent="0.25">
      <c r="A104" s="1" t="str">
        <f>IF(List!K104="","",List!K104)</f>
        <v xml:space="preserve">    X (  KC_F13                                       , 0x0068,    "F13"     ) \</v>
      </c>
    </row>
    <row r="105" spans="1:1" x14ac:dyDescent="0.25">
      <c r="A105" s="1" t="str">
        <f>IF(List!K105="","",List!K105)</f>
        <v xml:space="preserve">    X (  KC_F14                                       , 0x0069,    "F14"     ) \</v>
      </c>
    </row>
    <row r="106" spans="1:1" x14ac:dyDescent="0.25">
      <c r="A106" s="1" t="str">
        <f>IF(List!K106="","",List!K106)</f>
        <v xml:space="preserve">    X (  KC_F15                                       , 0x006A,    "F15"     ) \</v>
      </c>
    </row>
    <row r="107" spans="1:1" x14ac:dyDescent="0.25">
      <c r="A107" s="1" t="str">
        <f>IF(List!K107="","",List!K107)</f>
        <v xml:space="preserve">    X (  KC_F16                                       , 0x006B,    "F16"     ) \</v>
      </c>
    </row>
    <row r="108" spans="1:1" x14ac:dyDescent="0.25">
      <c r="A108" s="1" t="str">
        <f>IF(List!K108="","",List!K108)</f>
        <v xml:space="preserve">    X (  KC_F17                                       , 0x006C,    "F17"     ) \</v>
      </c>
    </row>
    <row r="109" spans="1:1" x14ac:dyDescent="0.25">
      <c r="A109" s="1" t="str">
        <f>IF(List!K109="","",List!K109)</f>
        <v xml:space="preserve">    X (  KC_F18                                       , 0x006D,    "F18"     ) \</v>
      </c>
    </row>
    <row r="110" spans="1:1" x14ac:dyDescent="0.25">
      <c r="A110" s="1" t="str">
        <f>IF(List!K110="","",List!K110)</f>
        <v xml:space="preserve">    X (  KC_F19                                       , 0x006E,    "F19"     ) \</v>
      </c>
    </row>
    <row r="111" spans="1:1" x14ac:dyDescent="0.25">
      <c r="A111" s="1" t="str">
        <f>IF(List!K111="","",List!K111)</f>
        <v xml:space="preserve">    X (  KC_F20                                       , 0x006F,    "F20"     ) \</v>
      </c>
    </row>
    <row r="112" spans="1:1" x14ac:dyDescent="0.25">
      <c r="A112" s="1" t="str">
        <f>IF(List!K112="","",List!K112)</f>
        <v xml:space="preserve">    X (  KC_F21                                       , 0x0070,    "F21"     ) \</v>
      </c>
    </row>
    <row r="113" spans="1:1" x14ac:dyDescent="0.25">
      <c r="A113" s="1" t="str">
        <f>IF(List!K113="","",List!K113)</f>
        <v xml:space="preserve">    X (  KC_F22                                       , 0x0071,    "F22"     ) \</v>
      </c>
    </row>
    <row r="114" spans="1:1" x14ac:dyDescent="0.25">
      <c r="A114" s="1" t="str">
        <f>IF(List!K114="","",List!K114)</f>
        <v xml:space="preserve">    X (  KC_F23                                       , 0x0072,    "F23"     ) \</v>
      </c>
    </row>
    <row r="115" spans="1:1" x14ac:dyDescent="0.25">
      <c r="A115" s="1" t="str">
        <f>IF(List!K115="","",List!K115)</f>
        <v xml:space="preserve">    X (  KC_F24                                       , 0x0073,    "F24"     ) \</v>
      </c>
    </row>
    <row r="116" spans="1:1" hidden="1" x14ac:dyDescent="0.25">
      <c r="A116" s="1" t="str">
        <f>IF(List!K116="","",List!K116)</f>
        <v/>
      </c>
    </row>
    <row r="117" spans="1:1" hidden="1" x14ac:dyDescent="0.25">
      <c r="A117" s="1" t="str">
        <f>IF(List!K117="","",List!K117)</f>
        <v/>
      </c>
    </row>
    <row r="118" spans="1:1" hidden="1" x14ac:dyDescent="0.25">
      <c r="A118" s="1" t="str">
        <f>IF(List!K118="","",List!K118)</f>
        <v/>
      </c>
    </row>
    <row r="119" spans="1:1" hidden="1" x14ac:dyDescent="0.25">
      <c r="A119" s="1" t="str">
        <f>IF(List!K119="","",List!K119)</f>
        <v/>
      </c>
    </row>
    <row r="120" spans="1:1" hidden="1" x14ac:dyDescent="0.25">
      <c r="A120" s="1" t="str">
        <f>IF(List!K120="","",List!K120)</f>
        <v/>
      </c>
    </row>
    <row r="121" spans="1:1" hidden="1" x14ac:dyDescent="0.25">
      <c r="A121" s="1" t="str">
        <f>IF(List!K121="","",List!K121)</f>
        <v/>
      </c>
    </row>
    <row r="122" spans="1:1" hidden="1" x14ac:dyDescent="0.25">
      <c r="A122" s="1" t="str">
        <f>IF(List!K122="","",List!K122)</f>
        <v/>
      </c>
    </row>
    <row r="123" spans="1:1" hidden="1" x14ac:dyDescent="0.25">
      <c r="A123" s="1" t="str">
        <f>IF(List!K123="","",List!K123)</f>
        <v/>
      </c>
    </row>
    <row r="124" spans="1:1" hidden="1" x14ac:dyDescent="0.25">
      <c r="A124" s="1" t="str">
        <f>IF(List!K124="","",List!K124)</f>
        <v/>
      </c>
    </row>
    <row r="125" spans="1:1" hidden="1" x14ac:dyDescent="0.25">
      <c r="A125" s="1" t="str">
        <f>IF(List!K125="","",List!K125)</f>
        <v/>
      </c>
    </row>
    <row r="126" spans="1:1" hidden="1" x14ac:dyDescent="0.25">
      <c r="A126" s="1" t="str">
        <f>IF(List!K126="","",List!K126)</f>
        <v/>
      </c>
    </row>
    <row r="127" spans="1:1" hidden="1" x14ac:dyDescent="0.25">
      <c r="A127" s="1" t="str">
        <f>IF(List!K127="","",List!K127)</f>
        <v/>
      </c>
    </row>
    <row r="128" spans="1:1" hidden="1" x14ac:dyDescent="0.25">
      <c r="A128" s="1" t="str">
        <f>IF(List!K128="","",List!K128)</f>
        <v/>
      </c>
    </row>
    <row r="129" spans="1:1" hidden="1" x14ac:dyDescent="0.25">
      <c r="A129" s="1" t="str">
        <f>IF(List!K129="","",List!K129)</f>
        <v/>
      </c>
    </row>
    <row r="130" spans="1:1" hidden="1" x14ac:dyDescent="0.25">
      <c r="A130" s="1" t="str">
        <f>IF(List!K130="","",List!K130)</f>
        <v/>
      </c>
    </row>
    <row r="131" spans="1:1" hidden="1" x14ac:dyDescent="0.25">
      <c r="A131" s="1" t="str">
        <f>IF(List!K131="","",List!K131)</f>
        <v/>
      </c>
    </row>
    <row r="132" spans="1:1" hidden="1" x14ac:dyDescent="0.25">
      <c r="A132" s="1" t="str">
        <f>IF(List!K132="","",List!K132)</f>
        <v/>
      </c>
    </row>
    <row r="133" spans="1:1" hidden="1" x14ac:dyDescent="0.25">
      <c r="A133" s="1" t="str">
        <f>IF(List!K133="","",List!K133)</f>
        <v/>
      </c>
    </row>
    <row r="134" spans="1:1" hidden="1" x14ac:dyDescent="0.25">
      <c r="A134" s="1" t="str">
        <f>IF(List!K134="","",List!K134)</f>
        <v/>
      </c>
    </row>
    <row r="135" spans="1:1" hidden="1" x14ac:dyDescent="0.25">
      <c r="A135" s="1" t="str">
        <f>IF(List!K135="","",List!K135)</f>
        <v/>
      </c>
    </row>
    <row r="136" spans="1:1" hidden="1" x14ac:dyDescent="0.25">
      <c r="A136" s="1" t="str">
        <f>IF(List!K136="","",List!K136)</f>
        <v/>
      </c>
    </row>
    <row r="137" spans="1:1" hidden="1" x14ac:dyDescent="0.25">
      <c r="A137" s="1" t="str">
        <f>IF(List!K137="","",List!K137)</f>
        <v/>
      </c>
    </row>
    <row r="138" spans="1:1" hidden="1" x14ac:dyDescent="0.25">
      <c r="A138" s="1" t="str">
        <f>IF(List!K138="","",List!K138)</f>
        <v/>
      </c>
    </row>
    <row r="139" spans="1:1" hidden="1" x14ac:dyDescent="0.25">
      <c r="A139" s="1" t="str">
        <f>IF(List!K139="","",List!K139)</f>
        <v/>
      </c>
    </row>
    <row r="140" spans="1:1" hidden="1" x14ac:dyDescent="0.25">
      <c r="A140" s="1" t="str">
        <f>IF(List!K140="","",List!K140)</f>
        <v/>
      </c>
    </row>
    <row r="141" spans="1:1" hidden="1" x14ac:dyDescent="0.25">
      <c r="A141" s="1" t="str">
        <f>IF(List!K141="","",List!K141)</f>
        <v/>
      </c>
    </row>
    <row r="142" spans="1:1" hidden="1" x14ac:dyDescent="0.25">
      <c r="A142" s="1" t="str">
        <f>IF(List!K142="","",List!K142)</f>
        <v/>
      </c>
    </row>
    <row r="143" spans="1:1" hidden="1" x14ac:dyDescent="0.25">
      <c r="A143" s="1" t="str">
        <f>IF(List!K143="","",List!K143)</f>
        <v/>
      </c>
    </row>
    <row r="144" spans="1:1" hidden="1" x14ac:dyDescent="0.25">
      <c r="A144" s="1" t="str">
        <f>IF(List!K144="","",List!K144)</f>
        <v/>
      </c>
    </row>
    <row r="145" spans="1:1" hidden="1" x14ac:dyDescent="0.25">
      <c r="A145" s="1" t="str">
        <f>IF(List!K145="","",List!K145)</f>
        <v/>
      </c>
    </row>
    <row r="146" spans="1:1" hidden="1" x14ac:dyDescent="0.25">
      <c r="A146" s="1" t="str">
        <f>IF(List!K146="","",List!K146)</f>
        <v/>
      </c>
    </row>
    <row r="147" spans="1:1" hidden="1" x14ac:dyDescent="0.25">
      <c r="A147" s="1" t="str">
        <f>IF(List!K147="","",List!K147)</f>
        <v/>
      </c>
    </row>
    <row r="148" spans="1:1" hidden="1" x14ac:dyDescent="0.25">
      <c r="A148" s="1" t="str">
        <f>IF(List!K148="","",List!K148)</f>
        <v/>
      </c>
    </row>
    <row r="149" spans="1:1" hidden="1" x14ac:dyDescent="0.25">
      <c r="A149" s="1" t="str">
        <f>IF(List!K149="","",List!K149)</f>
        <v/>
      </c>
    </row>
    <row r="150" spans="1:1" hidden="1" x14ac:dyDescent="0.25">
      <c r="A150" s="1" t="str">
        <f>IF(List!K150="","",List!K150)</f>
        <v/>
      </c>
    </row>
    <row r="151" spans="1:1" hidden="1" x14ac:dyDescent="0.25">
      <c r="A151" s="1" t="str">
        <f>IF(List!K151="","",List!K151)</f>
        <v/>
      </c>
    </row>
    <row r="152" spans="1:1" hidden="1" x14ac:dyDescent="0.25">
      <c r="A152" s="1" t="str">
        <f>IF(List!K152="","",List!K152)</f>
        <v/>
      </c>
    </row>
    <row r="153" spans="1:1" hidden="1" x14ac:dyDescent="0.25">
      <c r="A153" s="1" t="str">
        <f>IF(List!K153="","",List!K153)</f>
        <v/>
      </c>
    </row>
    <row r="154" spans="1:1" hidden="1" x14ac:dyDescent="0.25">
      <c r="A154" s="1" t="str">
        <f>IF(List!K154="","",List!K154)</f>
        <v/>
      </c>
    </row>
    <row r="155" spans="1:1" hidden="1" x14ac:dyDescent="0.25">
      <c r="A155" s="1" t="str">
        <f>IF(List!K155="","",List!K155)</f>
        <v/>
      </c>
    </row>
    <row r="156" spans="1:1" hidden="1" x14ac:dyDescent="0.25">
      <c r="A156" s="1" t="str">
        <f>IF(List!K156="","",List!K156)</f>
        <v/>
      </c>
    </row>
    <row r="157" spans="1:1" hidden="1" x14ac:dyDescent="0.25">
      <c r="A157" s="1" t="str">
        <f>IF(List!K157="","",List!K157)</f>
        <v/>
      </c>
    </row>
    <row r="158" spans="1:1" hidden="1" x14ac:dyDescent="0.25">
      <c r="A158" s="1" t="str">
        <f>IF(List!K158="","",List!K158)</f>
        <v/>
      </c>
    </row>
    <row r="159" spans="1:1" hidden="1" x14ac:dyDescent="0.25">
      <c r="A159" s="1" t="str">
        <f>IF(List!K159="","",List!K159)</f>
        <v/>
      </c>
    </row>
    <row r="160" spans="1:1" hidden="1" x14ac:dyDescent="0.25">
      <c r="A160" s="1" t="str">
        <f>IF(List!K160="","",List!K160)</f>
        <v/>
      </c>
    </row>
    <row r="161" spans="1:1" hidden="1" x14ac:dyDescent="0.25">
      <c r="A161" s="1" t="str">
        <f>IF(List!K161="","",List!K161)</f>
        <v/>
      </c>
    </row>
    <row r="162" spans="1:1" hidden="1" x14ac:dyDescent="0.25">
      <c r="A162" s="1" t="str">
        <f>IF(List!K162="","",List!K162)</f>
        <v/>
      </c>
    </row>
    <row r="163" spans="1:1" hidden="1" x14ac:dyDescent="0.25">
      <c r="A163" s="1" t="str">
        <f>IF(List!K163="","",List!K163)</f>
        <v/>
      </c>
    </row>
    <row r="164" spans="1:1" hidden="1" x14ac:dyDescent="0.25">
      <c r="A164" s="1" t="str">
        <f>IF(List!K164="","",List!K164)</f>
        <v/>
      </c>
    </row>
    <row r="165" spans="1:1" hidden="1" x14ac:dyDescent="0.25">
      <c r="A165" s="1" t="str">
        <f>IF(List!K165="","",List!K165)</f>
        <v/>
      </c>
    </row>
    <row r="166" spans="1:1" hidden="1" x14ac:dyDescent="0.25">
      <c r="A166" s="1" t="str">
        <f>IF(List!K166="","",List!K166)</f>
        <v/>
      </c>
    </row>
    <row r="167" spans="1:1" hidden="1" x14ac:dyDescent="0.25">
      <c r="A167" s="1" t="str">
        <f>IF(List!K167="","",List!K167)</f>
        <v/>
      </c>
    </row>
    <row r="168" spans="1:1" x14ac:dyDescent="0.25">
      <c r="A168" s="1" t="str">
        <f>IF(List!K168="","",List!K168)</f>
        <v xml:space="preserve">    X (  KC_AUDIO_MUTE                                , 0x00A8,    "Mute"     ) \</v>
      </c>
    </row>
    <row r="169" spans="1:1" x14ac:dyDescent="0.25">
      <c r="A169" s="1" t="str">
        <f>IF(List!K169="","",List!K169)</f>
        <v xml:space="preserve">    X (  KC_AUDIO_VOL_UP                              , 0x00A9,    "Vol+"     ) \</v>
      </c>
    </row>
    <row r="170" spans="1:1" x14ac:dyDescent="0.25">
      <c r="A170" s="1" t="str">
        <f>IF(List!K170="","",List!K170)</f>
        <v xml:space="preserve">    X (  KC_AUDIO_VOL_DOWN                            , 0x00AA,    "Vol-"     ) \</v>
      </c>
    </row>
    <row r="171" spans="1:1" x14ac:dyDescent="0.25">
      <c r="A171" s="1" t="str">
        <f>IF(List!K171="","",List!K171)</f>
        <v xml:space="preserve">    X (  KC_MEDIA_NEXT_TRACK                          , 0x00AB,    "Next"     ) \</v>
      </c>
    </row>
    <row r="172" spans="1:1" x14ac:dyDescent="0.25">
      <c r="A172" s="1" t="str">
        <f>IF(List!K172="","",List!K172)</f>
        <v xml:space="preserve">    X (  KC_MEDIA_PREV_TRACK                          , 0x00AC,    "Prev"     ) \</v>
      </c>
    </row>
    <row r="173" spans="1:1" x14ac:dyDescent="0.25">
      <c r="A173" s="1" t="str">
        <f>IF(List!K173="","",List!K173)</f>
        <v xml:space="preserve">    X (  KC_MEDIA_STOP                                , 0x00AD,    "Stop"     ) \</v>
      </c>
    </row>
    <row r="174" spans="1:1" x14ac:dyDescent="0.25">
      <c r="A174" s="1" t="str">
        <f>IF(List!K174="","",List!K174)</f>
        <v xml:space="preserve">    X (  KC_MEDIA_PLAY_PAUSE                          , 0x00AE,    "Play"     ) \</v>
      </c>
    </row>
    <row r="175" spans="1:1" x14ac:dyDescent="0.25">
      <c r="A175" s="1" t="str">
        <f>IF(List!K175="","",List!K175)</f>
        <v xml:space="preserve">    X (  KC_MEDIA_SELECT                              , 0x00AF,    "Media"     ) \</v>
      </c>
    </row>
    <row r="176" spans="1:1" hidden="1" x14ac:dyDescent="0.25">
      <c r="A176" s="1" t="str">
        <f>IF(List!K176="","",List!K176)</f>
        <v/>
      </c>
    </row>
    <row r="177" spans="1:1" hidden="1" x14ac:dyDescent="0.25">
      <c r="A177" s="1" t="str">
        <f>IF(List!K177="","",List!K177)</f>
        <v/>
      </c>
    </row>
    <row r="178" spans="1:1" x14ac:dyDescent="0.25">
      <c r="A178" s="1" t="str">
        <f>IF(List!K178="","",List!K178)</f>
        <v xml:space="preserve">    X (  KC_CALCULATOR                                , 0x00B2,    "Cal"     ) \</v>
      </c>
    </row>
    <row r="179" spans="1:1" x14ac:dyDescent="0.25">
      <c r="A179" s="1" t="str">
        <f>IF(List!K179="","",List!K179)</f>
        <v xml:space="preserve">    X (  KC_MY_COMPUTER                               , 0x00B3,    "Com"     ) \</v>
      </c>
    </row>
    <row r="180" spans="1:1" hidden="1" x14ac:dyDescent="0.25">
      <c r="A180" s="1" t="str">
        <f>IF(List!K180="","",List!K180)</f>
        <v/>
      </c>
    </row>
    <row r="181" spans="1:1" x14ac:dyDescent="0.25">
      <c r="A181" s="1" t="str">
        <f>IF(List!K181="","",List!K181)</f>
        <v xml:space="preserve">    X (  KC_WWW_HOME                                  , 0x00B5,    "Web"     ) \</v>
      </c>
    </row>
    <row r="182" spans="1:1" x14ac:dyDescent="0.25">
      <c r="A182" s="1" t="str">
        <f>IF(List!K182="","",List!K182)</f>
        <v xml:space="preserve">    X (  KC_WWW_BACK                                  , 0x00B6,    "&lt;"     ) \</v>
      </c>
    </row>
    <row r="183" spans="1:1" x14ac:dyDescent="0.25">
      <c r="A183" s="1" t="str">
        <f>IF(List!K183="","",List!K183)</f>
        <v xml:space="preserve">    X (  KC_WWW_FORWARD                               , 0x00B7,    "&gt;"     ) \</v>
      </c>
    </row>
    <row r="184" spans="1:1" hidden="1" x14ac:dyDescent="0.25">
      <c r="A184" s="1" t="str">
        <f>IF(List!K184="","",List!K184)</f>
        <v/>
      </c>
    </row>
    <row r="185" spans="1:1" x14ac:dyDescent="0.25">
      <c r="A185" s="1" t="str">
        <f>IF(List!K185="","",List!K185)</f>
        <v xml:space="preserve">    X (  KC_WWW_REFRESH                               , 0x00B9,    "F5"     ) \</v>
      </c>
    </row>
    <row r="186" spans="1:1" hidden="1" x14ac:dyDescent="0.25">
      <c r="A186" s="1" t="str">
        <f>IF(List!K186="","",List!K186)</f>
        <v/>
      </c>
    </row>
    <row r="187" spans="1:1" hidden="1" x14ac:dyDescent="0.25">
      <c r="A187" s="1" t="str">
        <f>IF(List!K187="","",List!K187)</f>
        <v/>
      </c>
    </row>
    <row r="188" spans="1:1" hidden="1" x14ac:dyDescent="0.25">
      <c r="A188" s="1" t="str">
        <f>IF(List!K188="","",List!K188)</f>
        <v/>
      </c>
    </row>
    <row r="189" spans="1:1" hidden="1" x14ac:dyDescent="0.25">
      <c r="A189" s="1" t="str">
        <f>IF(List!K189="","",List!K189)</f>
        <v/>
      </c>
    </row>
    <row r="190" spans="1:1" hidden="1" x14ac:dyDescent="0.25">
      <c r="A190" s="1" t="str">
        <f>IF(List!K190="","",List!K190)</f>
        <v/>
      </c>
    </row>
    <row r="191" spans="1:1" hidden="1" x14ac:dyDescent="0.25">
      <c r="A191" s="1" t="str">
        <f>IF(List!K191="","",List!K191)</f>
        <v/>
      </c>
    </row>
    <row r="192" spans="1:1" hidden="1" x14ac:dyDescent="0.25">
      <c r="A192" s="1" t="str">
        <f>IF(List!K192="","",List!K192)</f>
        <v/>
      </c>
    </row>
    <row r="193" spans="1:1" hidden="1" x14ac:dyDescent="0.25">
      <c r="A193" s="1" t="str">
        <f>IF(List!K193="","",List!K193)</f>
        <v/>
      </c>
    </row>
    <row r="194" spans="1:1" hidden="1" x14ac:dyDescent="0.25">
      <c r="A194" s="1" t="str">
        <f>IF(List!K194="","",List!K194)</f>
        <v/>
      </c>
    </row>
    <row r="195" spans="1:1" x14ac:dyDescent="0.25">
      <c r="A195" s="1" t="str">
        <f>IF(List!K195="","",List!K195)</f>
        <v xml:space="preserve">    X (  QK_MOUSE_CURSOR_UP                           , 0x00CD,    "UP"     ) \</v>
      </c>
    </row>
    <row r="196" spans="1:1" x14ac:dyDescent="0.25">
      <c r="A196" s="1" t="str">
        <f>IF(List!K196="","",List!K196)</f>
        <v xml:space="preserve">    X (  QK_MOUSE_CURSOR_DOWN                         , 0x00CE,    "DOWN"     ) \</v>
      </c>
    </row>
    <row r="197" spans="1:1" x14ac:dyDescent="0.25">
      <c r="A197" s="1" t="str">
        <f>IF(List!K197="","",List!K197)</f>
        <v xml:space="preserve">    X (  QK_MOUSE_CURSOR_LEFT                         , 0x00CF,    "LEFT"     ) \</v>
      </c>
    </row>
    <row r="198" spans="1:1" x14ac:dyDescent="0.25">
      <c r="A198" s="1" t="str">
        <f>IF(List!K198="","",List!K198)</f>
        <v xml:space="preserve">    X (  QK_MOUSE_CURSOR_RIGHT                        , 0x00D0,    "RIGHT"     ) \</v>
      </c>
    </row>
    <row r="199" spans="1:1" x14ac:dyDescent="0.25">
      <c r="A199" s="1" t="str">
        <f>IF(List!K199="","",List!K199)</f>
        <v xml:space="preserve">    X (  QK_MOUSE_BUTTON_1                            , 0x00D1,    "L"     ) \</v>
      </c>
    </row>
    <row r="200" spans="1:1" x14ac:dyDescent="0.25">
      <c r="A200" s="1" t="str">
        <f>IF(List!K200="","",List!K200)</f>
        <v xml:space="preserve">    X (  QK_MOUSE_BUTTON_2                            , 0x00D2,    "R"     ) \</v>
      </c>
    </row>
    <row r="201" spans="1:1" hidden="1" x14ac:dyDescent="0.25">
      <c r="A201" s="1" t="str">
        <f>IF(List!K201="","",List!K201)</f>
        <v/>
      </c>
    </row>
    <row r="202" spans="1:1" hidden="1" x14ac:dyDescent="0.25">
      <c r="A202" s="1" t="str">
        <f>IF(List!K202="","",List!K202)</f>
        <v/>
      </c>
    </row>
    <row r="203" spans="1:1" hidden="1" x14ac:dyDescent="0.25">
      <c r="A203" s="1" t="str">
        <f>IF(List!K203="","",List!K203)</f>
        <v/>
      </c>
    </row>
    <row r="204" spans="1:1" x14ac:dyDescent="0.25">
      <c r="A204" s="1" t="str">
        <f>IF(List!K204="","",List!K204)</f>
        <v xml:space="preserve">    X (  QK_MOUSE_BUTTON_6                            , 0x00D6,    "Bt1"     ) \</v>
      </c>
    </row>
    <row r="205" spans="1:1" x14ac:dyDescent="0.25">
      <c r="A205" s="1" t="str">
        <f>IF(List!K205="","",List!K205)</f>
        <v xml:space="preserve">    X (  QK_MOUSE_BUTTON_7                            , 0x00D7,    "Bt2"     ) \</v>
      </c>
    </row>
    <row r="206" spans="1:1" x14ac:dyDescent="0.25">
      <c r="A206" s="1" t="str">
        <f>IF(List!K206="","",List!K206)</f>
        <v xml:space="preserve">    X (  QK_MOUSE_BUTTON_8                            , 0x00D8,    "Bt3"     ) \</v>
      </c>
    </row>
    <row r="207" spans="1:1" x14ac:dyDescent="0.25">
      <c r="A207" s="1" t="str">
        <f>IF(List!K207="","",List!K207)</f>
        <v xml:space="preserve">    X (  QK_MOUSE_WHEEL_UP                            , 0x00D9,    "W^"     ) \</v>
      </c>
    </row>
    <row r="208" spans="1:1" x14ac:dyDescent="0.25">
      <c r="A208" s="1" t="str">
        <f>IF(List!K208="","",List!K208)</f>
        <v xml:space="preserve">    X (  QK_MOUSE_WHEEL_DOWN                          , 0x00DA,    "Wv"     ) \</v>
      </c>
    </row>
    <row r="209" spans="1:1" x14ac:dyDescent="0.25">
      <c r="A209" s="1" t="str">
        <f>IF(List!K209="","",List!K209)</f>
        <v xml:space="preserve">    X (  QK_MOUSE_WHEEL_LEFT                          , 0x00DB,    "&lt;W"     ) \</v>
      </c>
    </row>
    <row r="210" spans="1:1" x14ac:dyDescent="0.25">
      <c r="A210" s="1" t="str">
        <f>IF(List!K210="","",List!K210)</f>
        <v xml:space="preserve">    X (  QK_MOUSE_WHEEL_RIGHT                         , 0x00DC,    "W&gt;"     ) \</v>
      </c>
    </row>
    <row r="211" spans="1:1" hidden="1" x14ac:dyDescent="0.25">
      <c r="A211" s="1" t="str">
        <f>IF(List!K211="","",List!K211)</f>
        <v/>
      </c>
    </row>
    <row r="212" spans="1:1" hidden="1" x14ac:dyDescent="0.25">
      <c r="A212" s="1" t="str">
        <f>IF(List!K212="","",List!K212)</f>
        <v/>
      </c>
    </row>
    <row r="213" spans="1:1" hidden="1" x14ac:dyDescent="0.25">
      <c r="A213" s="1" t="str">
        <f>IF(List!K213="","",List!K213)</f>
        <v/>
      </c>
    </row>
    <row r="214" spans="1:1" x14ac:dyDescent="0.25">
      <c r="A214" s="1" t="str">
        <f>IF(List!K214="","",List!K214)</f>
        <v xml:space="preserve">    X (  KC_LEFT_CTRL                                 , 0x00E0,    "Cmd"     ) \</v>
      </c>
    </row>
    <row r="215" spans="1:1" x14ac:dyDescent="0.25">
      <c r="A215" s="1" t="str">
        <f>IF(List!K215="","",List!K215)</f>
        <v xml:space="preserve">    X (  KC_LEFT_SHIFT                                , 0x00E1,    "Shift"     ) \</v>
      </c>
    </row>
    <row r="216" spans="1:1" x14ac:dyDescent="0.25">
      <c r="A216" s="1" t="str">
        <f>IF(List!K216="","",List!K216)</f>
        <v xml:space="preserve">    X (  KC_LEFT_ALT                                  , 0x00E2,    "Alt"     ) \</v>
      </c>
    </row>
    <row r="217" spans="1:1" x14ac:dyDescent="0.25">
      <c r="A217" s="1" t="str">
        <f>IF(List!K217="","",List!K217)</f>
        <v xml:space="preserve">    X (  KC_LEFT_GUI                                  , 0x00E3,    "Win"     ) \</v>
      </c>
    </row>
    <row r="218" spans="1:1" x14ac:dyDescent="0.25">
      <c r="A218" s="1" t="str">
        <f>IF(List!K218="","",List!K218)</f>
        <v xml:space="preserve">    X (  KC_RIGHT_CTRL                                , 0x00E4,    "Cmd"     ) \</v>
      </c>
    </row>
    <row r="219" spans="1:1" x14ac:dyDescent="0.25">
      <c r="A219" s="1" t="str">
        <f>IF(List!K219="","",List!K219)</f>
        <v xml:space="preserve">    X (  KC_RIGHT_SHIFT                               , 0x00E5,    "Shift"     ) \</v>
      </c>
    </row>
    <row r="220" spans="1:1" x14ac:dyDescent="0.25">
      <c r="A220" s="1" t="str">
        <f>IF(List!K220="","",List!K220)</f>
        <v xml:space="preserve">    X (  KC_RIGHT_ALT                                 , 0x00E6,    "Alt"     ) \</v>
      </c>
    </row>
    <row r="221" spans="1:1" x14ac:dyDescent="0.25">
      <c r="A221" s="1" t="str">
        <f>IF(List!K221="","",List!K221)</f>
        <v xml:space="preserve">    X (  KC_RIGHT_GUI                                 , 0x00E7,    "Win"     ) \</v>
      </c>
    </row>
    <row r="222" spans="1:1" hidden="1" x14ac:dyDescent="0.25">
      <c r="A222" s="1" t="str">
        <f>IF(List!K222="","",List!K222)</f>
        <v/>
      </c>
    </row>
    <row r="223" spans="1:1" hidden="1" x14ac:dyDescent="0.25">
      <c r="A223" s="1" t="str">
        <f>IF(List!K223="","",List!K223)</f>
        <v/>
      </c>
    </row>
    <row r="224" spans="1:1" hidden="1" x14ac:dyDescent="0.25">
      <c r="A224" s="1" t="str">
        <f>IF(List!K224="","",List!K224)</f>
        <v/>
      </c>
    </row>
    <row r="225" spans="1:1" hidden="1" x14ac:dyDescent="0.25">
      <c r="A225" s="1" t="str">
        <f>IF(List!K225="","",List!K225)</f>
        <v/>
      </c>
    </row>
    <row r="226" spans="1:1" hidden="1" x14ac:dyDescent="0.25">
      <c r="A226" s="1" t="str">
        <f>IF(List!K226="","",List!K226)</f>
        <v/>
      </c>
    </row>
    <row r="227" spans="1:1" hidden="1" x14ac:dyDescent="0.25">
      <c r="A227" s="1" t="str">
        <f>IF(List!K227="","",List!K227)</f>
        <v/>
      </c>
    </row>
    <row r="228" spans="1:1" hidden="1" x14ac:dyDescent="0.25">
      <c r="A228" s="1" t="str">
        <f>IF(List!K228="","",List!K228)</f>
        <v/>
      </c>
    </row>
    <row r="229" spans="1:1" hidden="1" x14ac:dyDescent="0.25">
      <c r="A229" s="1" t="str">
        <f>IF(List!K229="","",List!K229)</f>
        <v/>
      </c>
    </row>
    <row r="230" spans="1:1" hidden="1" x14ac:dyDescent="0.25">
      <c r="A230" s="1" t="str">
        <f>IF(List!K230="","",List!K230)</f>
        <v/>
      </c>
    </row>
    <row r="231" spans="1:1" hidden="1" x14ac:dyDescent="0.25">
      <c r="A231" s="1" t="str">
        <f>IF(List!K231="","",List!K231)</f>
        <v/>
      </c>
    </row>
    <row r="232" spans="1:1" hidden="1" x14ac:dyDescent="0.25">
      <c r="A232" s="1" t="str">
        <f>IF(List!K232="","",List!K232)</f>
        <v/>
      </c>
    </row>
    <row r="233" spans="1:1" hidden="1" x14ac:dyDescent="0.25">
      <c r="A233" s="1" t="str">
        <f>IF(List!K233="","",List!K233)</f>
        <v/>
      </c>
    </row>
    <row r="234" spans="1:1" hidden="1" x14ac:dyDescent="0.25">
      <c r="A234" s="1" t="str">
        <f>IF(List!K234="","",List!K234)</f>
        <v/>
      </c>
    </row>
    <row r="235" spans="1:1" hidden="1" x14ac:dyDescent="0.25">
      <c r="A235" s="1" t="str">
        <f>IF(List!K235="","",List!K235)</f>
        <v/>
      </c>
    </row>
    <row r="236" spans="1:1" hidden="1" x14ac:dyDescent="0.25">
      <c r="A236" s="1" t="str">
        <f>IF(List!K236="","",List!K236)</f>
        <v/>
      </c>
    </row>
    <row r="237" spans="1:1" hidden="1" x14ac:dyDescent="0.25">
      <c r="A237" s="1" t="str">
        <f>IF(List!K237="","",List!K237)</f>
        <v/>
      </c>
    </row>
    <row r="238" spans="1:1" hidden="1" x14ac:dyDescent="0.25">
      <c r="A238" s="1" t="str">
        <f>IF(List!K238="","",List!K238)</f>
        <v/>
      </c>
    </row>
    <row r="239" spans="1:1" hidden="1" x14ac:dyDescent="0.25">
      <c r="A239" s="1" t="str">
        <f>IF(List!K239="","",List!K239)</f>
        <v/>
      </c>
    </row>
    <row r="240" spans="1:1" hidden="1" x14ac:dyDescent="0.25">
      <c r="A240" s="1" t="str">
        <f>IF(List!K240="","",List!K240)</f>
        <v/>
      </c>
    </row>
    <row r="241" spans="1:1" hidden="1" x14ac:dyDescent="0.25">
      <c r="A241" s="1" t="str">
        <f>IF(List!K241="","",List!K241)</f>
        <v/>
      </c>
    </row>
    <row r="242" spans="1:1" hidden="1" x14ac:dyDescent="0.25">
      <c r="A242" s="1" t="str">
        <f>IF(List!K242="","",List!K242)</f>
        <v/>
      </c>
    </row>
    <row r="243" spans="1:1" hidden="1" x14ac:dyDescent="0.25">
      <c r="A243" s="1" t="str">
        <f>IF(List!K243="","",List!K243)</f>
        <v/>
      </c>
    </row>
    <row r="244" spans="1:1" hidden="1" x14ac:dyDescent="0.25">
      <c r="A244" s="1" t="str">
        <f>IF(List!K244="","",List!K244)</f>
        <v/>
      </c>
    </row>
    <row r="245" spans="1:1" hidden="1" x14ac:dyDescent="0.25">
      <c r="A245" s="1" t="str">
        <f>IF(List!K245="","",List!K245)</f>
        <v/>
      </c>
    </row>
    <row r="246" spans="1:1" hidden="1" x14ac:dyDescent="0.25">
      <c r="A246" s="1" t="str">
        <f>IF(List!K246="","",List!K246)</f>
        <v/>
      </c>
    </row>
    <row r="247" spans="1:1" hidden="1" x14ac:dyDescent="0.25">
      <c r="A247" s="1" t="str">
        <f>IF(List!K247="","",List!K247)</f>
        <v/>
      </c>
    </row>
    <row r="248" spans="1:1" hidden="1" x14ac:dyDescent="0.25">
      <c r="A248" s="1" t="str">
        <f>IF(List!K248="","",List!K248)</f>
        <v/>
      </c>
    </row>
    <row r="249" spans="1:1" hidden="1" x14ac:dyDescent="0.25">
      <c r="A249" s="1" t="str">
        <f>IF(List!K249="","",List!K249)</f>
        <v/>
      </c>
    </row>
    <row r="250" spans="1:1" hidden="1" x14ac:dyDescent="0.25">
      <c r="A250" s="1" t="str">
        <f>IF(List!K250="","",List!K250)</f>
        <v/>
      </c>
    </row>
    <row r="251" spans="1:1" hidden="1" x14ac:dyDescent="0.25">
      <c r="A251" s="1" t="str">
        <f>IF(List!K251="","",List!K251)</f>
        <v/>
      </c>
    </row>
    <row r="252" spans="1:1" hidden="1" x14ac:dyDescent="0.25">
      <c r="A252" s="1" t="str">
        <f>IF(List!K252="","",List!K252)</f>
        <v/>
      </c>
    </row>
    <row r="253" spans="1:1" hidden="1" x14ac:dyDescent="0.25">
      <c r="A253" s="1" t="str">
        <f>IF(List!K253="","",List!K253)</f>
        <v/>
      </c>
    </row>
    <row r="254" spans="1:1" hidden="1" x14ac:dyDescent="0.25">
      <c r="A254" s="1" t="str">
        <f>IF(List!K254="","",List!K254)</f>
        <v/>
      </c>
    </row>
    <row r="255" spans="1:1" hidden="1" x14ac:dyDescent="0.25">
      <c r="A255" s="1" t="str">
        <f>IF(List!K255="","",List!K255)</f>
        <v/>
      </c>
    </row>
    <row r="256" spans="1:1" hidden="1" x14ac:dyDescent="0.25">
      <c r="A256" s="1" t="str">
        <f>IF(List!K256="","",List!K256)</f>
        <v/>
      </c>
    </row>
    <row r="257" spans="1:1" hidden="1" x14ac:dyDescent="0.25">
      <c r="A257" s="1" t="str">
        <f>IF(List!K257="","",List!K257)</f>
        <v/>
      </c>
    </row>
    <row r="258" spans="1:1" hidden="1" x14ac:dyDescent="0.25">
      <c r="A258" s="1" t="str">
        <f>IF(List!K258="","",List!K258)</f>
        <v/>
      </c>
    </row>
    <row r="259" spans="1:1" hidden="1" x14ac:dyDescent="0.25">
      <c r="A259" s="1" t="str">
        <f>IF(List!K259="","",List!K259)</f>
        <v/>
      </c>
    </row>
    <row r="260" spans="1:1" hidden="1" x14ac:dyDescent="0.25">
      <c r="A260" s="1" t="str">
        <f>IF(List!K260="","",List!K260)</f>
        <v/>
      </c>
    </row>
    <row r="261" spans="1:1" hidden="1" x14ac:dyDescent="0.25">
      <c r="A261" s="1" t="str">
        <f>IF(List!K261="","",List!K261)</f>
        <v/>
      </c>
    </row>
    <row r="262" spans="1:1" hidden="1" x14ac:dyDescent="0.25">
      <c r="A262" s="1" t="str">
        <f>IF(List!K262="","",List!K262)</f>
        <v/>
      </c>
    </row>
    <row r="263" spans="1:1" hidden="1" x14ac:dyDescent="0.25">
      <c r="A263" s="1" t="str">
        <f>IF(List!K263="","",List!K263)</f>
        <v/>
      </c>
    </row>
    <row r="264" spans="1:1" hidden="1" x14ac:dyDescent="0.25">
      <c r="A264" s="1" t="str">
        <f>IF(List!K264="","",List!K264)</f>
        <v/>
      </c>
    </row>
    <row r="265" spans="1:1" hidden="1" x14ac:dyDescent="0.25">
      <c r="A265" s="1" t="str">
        <f>IF(List!K265="","",List!K265)</f>
        <v/>
      </c>
    </row>
    <row r="266" spans="1:1" hidden="1" x14ac:dyDescent="0.25">
      <c r="A266" s="1" t="str">
        <f>IF(List!K266="","",List!K266)</f>
        <v/>
      </c>
    </row>
    <row r="267" spans="1:1" hidden="1" x14ac:dyDescent="0.25">
      <c r="A267" s="1" t="str">
        <f>IF(List!K267="","",List!K267)</f>
        <v/>
      </c>
    </row>
    <row r="268" spans="1:1" hidden="1" x14ac:dyDescent="0.25">
      <c r="A268" s="1" t="str">
        <f>IF(List!K268="","",List!K268)</f>
        <v/>
      </c>
    </row>
    <row r="269" spans="1:1" hidden="1" x14ac:dyDescent="0.25">
      <c r="A269" s="1" t="str">
        <f>IF(List!K269="","",List!K269)</f>
        <v/>
      </c>
    </row>
    <row r="270" spans="1:1" hidden="1" x14ac:dyDescent="0.25">
      <c r="A270" s="1" t="str">
        <f>IF(List!K270="","",List!K270)</f>
        <v/>
      </c>
    </row>
    <row r="271" spans="1:1" hidden="1" x14ac:dyDescent="0.25">
      <c r="A271" s="1" t="str">
        <f>IF(List!K271="","",List!K271)</f>
        <v/>
      </c>
    </row>
    <row r="272" spans="1:1" hidden="1" x14ac:dyDescent="0.25">
      <c r="A272" s="1" t="str">
        <f>IF(List!K272="","",List!K272)</f>
        <v/>
      </c>
    </row>
    <row r="273" spans="1:1" hidden="1" x14ac:dyDescent="0.25">
      <c r="A273" s="1" t="str">
        <f>IF(List!K273="","",List!K273)</f>
        <v/>
      </c>
    </row>
    <row r="274" spans="1:1" hidden="1" x14ac:dyDescent="0.25">
      <c r="A274" s="1" t="str">
        <f>IF(List!K274="","",List!K274)</f>
        <v/>
      </c>
    </row>
    <row r="275" spans="1:1" hidden="1" x14ac:dyDescent="0.25">
      <c r="A275" s="1" t="str">
        <f>IF(List!K275="","",List!K275)</f>
        <v/>
      </c>
    </row>
    <row r="276" spans="1:1" hidden="1" x14ac:dyDescent="0.25">
      <c r="A276" s="1" t="str">
        <f>IF(List!K276="","",List!K276)</f>
        <v/>
      </c>
    </row>
    <row r="277" spans="1:1" hidden="1" x14ac:dyDescent="0.25">
      <c r="A277" s="1" t="str">
        <f>IF(List!K277="","",List!K277)</f>
        <v/>
      </c>
    </row>
    <row r="278" spans="1:1" hidden="1" x14ac:dyDescent="0.25">
      <c r="A278" s="1" t="str">
        <f>IF(List!K278="","",List!K278)</f>
        <v/>
      </c>
    </row>
    <row r="279" spans="1:1" hidden="1" x14ac:dyDescent="0.25">
      <c r="A279" s="1" t="str">
        <f>IF(List!K279="","",List!K279)</f>
        <v/>
      </c>
    </row>
    <row r="280" spans="1:1" hidden="1" x14ac:dyDescent="0.25">
      <c r="A280" s="1" t="str">
        <f>IF(List!K280="","",List!K280)</f>
        <v/>
      </c>
    </row>
    <row r="281" spans="1:1" hidden="1" x14ac:dyDescent="0.25">
      <c r="A281" s="1" t="str">
        <f>IF(List!K281="","",List!K281)</f>
        <v/>
      </c>
    </row>
    <row r="282" spans="1:1" hidden="1" x14ac:dyDescent="0.25">
      <c r="A282" s="1" t="str">
        <f>IF(List!K282="","",List!K282)</f>
        <v/>
      </c>
    </row>
    <row r="283" spans="1:1" hidden="1" x14ac:dyDescent="0.25">
      <c r="A283" s="1" t="str">
        <f>IF(List!K283="","",List!K283)</f>
        <v/>
      </c>
    </row>
    <row r="284" spans="1:1" hidden="1" x14ac:dyDescent="0.25">
      <c r="A284" s="1" t="str">
        <f>IF(List!K284="","",List!K284)</f>
        <v/>
      </c>
    </row>
    <row r="285" spans="1:1" hidden="1" x14ac:dyDescent="0.25">
      <c r="A285" s="1" t="str">
        <f>IF(List!K285="","",List!K285)</f>
        <v/>
      </c>
    </row>
    <row r="286" spans="1:1" hidden="1" x14ac:dyDescent="0.25">
      <c r="A286" s="1" t="str">
        <f>IF(List!K286="","",List!K286)</f>
        <v/>
      </c>
    </row>
    <row r="287" spans="1:1" hidden="1" x14ac:dyDescent="0.25">
      <c r="A287" s="1" t="str">
        <f>IF(List!K287="","",List!K287)</f>
        <v/>
      </c>
    </row>
    <row r="288" spans="1:1" hidden="1" x14ac:dyDescent="0.25">
      <c r="A288" s="1" t="str">
        <f>IF(List!K288="","",List!K288)</f>
        <v/>
      </c>
    </row>
    <row r="289" spans="1:1" hidden="1" x14ac:dyDescent="0.25">
      <c r="A289" s="1" t="str">
        <f>IF(List!K289="","",List!K289)</f>
        <v/>
      </c>
    </row>
    <row r="290" spans="1:1" hidden="1" x14ac:dyDescent="0.25">
      <c r="A290" s="1" t="str">
        <f>IF(List!K290="","",List!K290)</f>
        <v/>
      </c>
    </row>
    <row r="291" spans="1:1" hidden="1" x14ac:dyDescent="0.25">
      <c r="A291" s="1" t="str">
        <f>IF(List!K291="","",List!K291)</f>
        <v/>
      </c>
    </row>
    <row r="292" spans="1:1" hidden="1" x14ac:dyDescent="0.25">
      <c r="A292" s="1" t="str">
        <f>IF(List!K292="","",List!K292)</f>
        <v/>
      </c>
    </row>
    <row r="293" spans="1:1" hidden="1" x14ac:dyDescent="0.25">
      <c r="A293" s="1" t="str">
        <f>IF(List!K293="","",List!K293)</f>
        <v/>
      </c>
    </row>
    <row r="294" spans="1:1" hidden="1" x14ac:dyDescent="0.25">
      <c r="A294" s="1" t="str">
        <f>IF(List!K294="","",List!K294)</f>
        <v/>
      </c>
    </row>
    <row r="295" spans="1:1" hidden="1" x14ac:dyDescent="0.25">
      <c r="A295" s="1" t="str">
        <f>IF(List!K295="","",List!K295)</f>
        <v/>
      </c>
    </row>
    <row r="296" spans="1:1" hidden="1" x14ac:dyDescent="0.25">
      <c r="A296" s="1" t="str">
        <f>IF(List!K296="","",List!K296)</f>
        <v/>
      </c>
    </row>
    <row r="297" spans="1:1" hidden="1" x14ac:dyDescent="0.25">
      <c r="A297" s="1" t="str">
        <f>IF(List!K297="","",List!K297)</f>
        <v/>
      </c>
    </row>
    <row r="298" spans="1:1" hidden="1" x14ac:dyDescent="0.25">
      <c r="A298" s="1" t="str">
        <f>IF(List!K298="","",List!K298)</f>
        <v/>
      </c>
    </row>
    <row r="299" spans="1:1" hidden="1" x14ac:dyDescent="0.25">
      <c r="A299" s="1" t="str">
        <f>IF(List!K299="","",List!K299)</f>
        <v/>
      </c>
    </row>
    <row r="300" spans="1:1" hidden="1" x14ac:dyDescent="0.25">
      <c r="A300" s="1" t="str">
        <f>IF(List!K300="","",List!K300)</f>
        <v/>
      </c>
    </row>
    <row r="301" spans="1:1" hidden="1" x14ac:dyDescent="0.25">
      <c r="A301" s="1" t="str">
        <f>IF(List!K301="","",List!K301)</f>
        <v/>
      </c>
    </row>
    <row r="302" spans="1:1" hidden="1" x14ac:dyDescent="0.25">
      <c r="A302" s="1" t="str">
        <f>IF(List!K302="","",List!K302)</f>
        <v/>
      </c>
    </row>
    <row r="303" spans="1:1" hidden="1" x14ac:dyDescent="0.25">
      <c r="A303" s="1" t="str">
        <f>IF(List!K303="","",List!K303)</f>
        <v/>
      </c>
    </row>
    <row r="304" spans="1:1" hidden="1" x14ac:dyDescent="0.25">
      <c r="A304" s="1" t="str">
        <f>IF(List!K304="","",List!K304)</f>
        <v/>
      </c>
    </row>
    <row r="305" spans="1:1" hidden="1" x14ac:dyDescent="0.25">
      <c r="A305" s="1" t="str">
        <f>IF(List!K305="","",List!K305)</f>
        <v/>
      </c>
    </row>
    <row r="306" spans="1:1" hidden="1" x14ac:dyDescent="0.25">
      <c r="A306" s="1" t="str">
        <f>IF(List!K306="","",List!K306)</f>
        <v/>
      </c>
    </row>
    <row r="307" spans="1:1" hidden="1" x14ac:dyDescent="0.25">
      <c r="A307" s="1" t="str">
        <f>IF(List!K307="","",List!K307)</f>
        <v/>
      </c>
    </row>
    <row r="308" spans="1:1" hidden="1" x14ac:dyDescent="0.25">
      <c r="A308" s="1" t="str">
        <f>IF(List!K308="","",List!K308)</f>
        <v/>
      </c>
    </row>
    <row r="309" spans="1:1" hidden="1" x14ac:dyDescent="0.25">
      <c r="A309" s="1" t="str">
        <f>IF(List!K309="","",List!K309)</f>
        <v/>
      </c>
    </row>
    <row r="310" spans="1:1" hidden="1" x14ac:dyDescent="0.25">
      <c r="A310" s="1" t="str">
        <f>IF(List!K310="","",List!K310)</f>
        <v/>
      </c>
    </row>
    <row r="311" spans="1:1" hidden="1" x14ac:dyDescent="0.25">
      <c r="A311" s="1" t="str">
        <f>IF(List!K311="","",List!K311)</f>
        <v/>
      </c>
    </row>
    <row r="312" spans="1:1" hidden="1" x14ac:dyDescent="0.25">
      <c r="A312" s="1" t="str">
        <f>IF(List!K312="","",List!K312)</f>
        <v/>
      </c>
    </row>
    <row r="313" spans="1:1" hidden="1" x14ac:dyDescent="0.25">
      <c r="A313" s="1" t="str">
        <f>IF(List!K313="","",List!K313)</f>
        <v/>
      </c>
    </row>
    <row r="314" spans="1:1" hidden="1" x14ac:dyDescent="0.25">
      <c r="A314" s="1" t="str">
        <f>IF(List!K314="","",List!K314)</f>
        <v/>
      </c>
    </row>
    <row r="315" spans="1:1" hidden="1" x14ac:dyDescent="0.25">
      <c r="A315" s="1" t="str">
        <f>IF(List!K315="","",List!K315)</f>
        <v/>
      </c>
    </row>
    <row r="316" spans="1:1" hidden="1" x14ac:dyDescent="0.25">
      <c r="A316" s="1" t="str">
        <f>IF(List!K316="","",List!K316)</f>
        <v/>
      </c>
    </row>
    <row r="317" spans="1:1" hidden="1" x14ac:dyDescent="0.25">
      <c r="A317" s="1" t="str">
        <f>IF(List!K317="","",List!K317)</f>
        <v/>
      </c>
    </row>
    <row r="318" spans="1:1" hidden="1" x14ac:dyDescent="0.25">
      <c r="A318" s="1" t="str">
        <f>IF(List!K318="","",List!K318)</f>
        <v/>
      </c>
    </row>
    <row r="319" spans="1:1" hidden="1" x14ac:dyDescent="0.25">
      <c r="A319" s="1" t="str">
        <f>IF(List!K319="","",List!K319)</f>
        <v/>
      </c>
    </row>
    <row r="320" spans="1:1" hidden="1" x14ac:dyDescent="0.25">
      <c r="A320" s="1" t="str">
        <f>IF(List!K320="","",List!K320)</f>
        <v/>
      </c>
    </row>
    <row r="321" spans="1:1" hidden="1" x14ac:dyDescent="0.25">
      <c r="A321" s="1" t="str">
        <f>IF(List!K321="","",List!K321)</f>
        <v/>
      </c>
    </row>
    <row r="322" spans="1:1" hidden="1" x14ac:dyDescent="0.25">
      <c r="A322" s="1" t="str">
        <f>IF(List!K322="","",List!K322)</f>
        <v/>
      </c>
    </row>
    <row r="323" spans="1:1" hidden="1" x14ac:dyDescent="0.25">
      <c r="A323" s="1" t="str">
        <f>IF(List!K323="","",List!K323)</f>
        <v/>
      </c>
    </row>
    <row r="324" spans="1:1" hidden="1" x14ac:dyDescent="0.25">
      <c r="A324" s="1" t="str">
        <f>IF(List!K324="","",List!K324)</f>
        <v/>
      </c>
    </row>
    <row r="325" spans="1:1" hidden="1" x14ac:dyDescent="0.25">
      <c r="A325" s="1" t="str">
        <f>IF(List!K325="","",List!K325)</f>
        <v/>
      </c>
    </row>
    <row r="326" spans="1:1" hidden="1" x14ac:dyDescent="0.25">
      <c r="A326" s="1" t="str">
        <f>IF(List!K326="","",List!K326)</f>
        <v/>
      </c>
    </row>
    <row r="327" spans="1:1" hidden="1" x14ac:dyDescent="0.25">
      <c r="A327" s="1" t="str">
        <f>IF(List!K327="","",List!K327)</f>
        <v/>
      </c>
    </row>
    <row r="328" spans="1:1" hidden="1" x14ac:dyDescent="0.25">
      <c r="A328" s="1" t="str">
        <f>IF(List!K328="","",List!K328)</f>
        <v/>
      </c>
    </row>
    <row r="329" spans="1:1" hidden="1" x14ac:dyDescent="0.25">
      <c r="A329" s="1" t="str">
        <f>IF(List!K329="","",List!K329)</f>
        <v/>
      </c>
    </row>
    <row r="330" spans="1:1" hidden="1" x14ac:dyDescent="0.25">
      <c r="A330" s="1" t="str">
        <f>IF(List!K330="","",List!K330)</f>
        <v/>
      </c>
    </row>
    <row r="331" spans="1:1" hidden="1" x14ac:dyDescent="0.25">
      <c r="A331" s="1" t="str">
        <f>IF(List!K331="","",List!K331)</f>
        <v/>
      </c>
    </row>
    <row r="332" spans="1:1" hidden="1" x14ac:dyDescent="0.25">
      <c r="A332" s="1" t="str">
        <f>IF(List!K332="","",List!K332)</f>
        <v/>
      </c>
    </row>
    <row r="333" spans="1:1" hidden="1" x14ac:dyDescent="0.25">
      <c r="A333" s="1" t="str">
        <f>IF(List!K333="","",List!K333)</f>
        <v/>
      </c>
    </row>
    <row r="334" spans="1:1" hidden="1" x14ac:dyDescent="0.25">
      <c r="A334" s="1" t="str">
        <f>IF(List!K334="","",List!K334)</f>
        <v/>
      </c>
    </row>
    <row r="335" spans="1:1" hidden="1" x14ac:dyDescent="0.25">
      <c r="A335" s="1" t="str">
        <f>IF(List!K335="","",List!K335)</f>
        <v/>
      </c>
    </row>
    <row r="336" spans="1:1" hidden="1" x14ac:dyDescent="0.25">
      <c r="A336" s="1" t="str">
        <f>IF(List!K336="","",List!K336)</f>
        <v/>
      </c>
    </row>
    <row r="337" spans="1:1" hidden="1" x14ac:dyDescent="0.25">
      <c r="A337" s="1" t="str">
        <f>IF(List!K337="","",List!K337)</f>
        <v/>
      </c>
    </row>
    <row r="338" spans="1:1" hidden="1" x14ac:dyDescent="0.25">
      <c r="A338" s="1" t="str">
        <f>IF(List!K338="","",List!K338)</f>
        <v/>
      </c>
    </row>
    <row r="339" spans="1:1" hidden="1" x14ac:dyDescent="0.25">
      <c r="A339" s="1" t="str">
        <f>IF(List!K339="","",List!K339)</f>
        <v/>
      </c>
    </row>
    <row r="340" spans="1:1" hidden="1" x14ac:dyDescent="0.25">
      <c r="A340" s="1" t="str">
        <f>IF(List!K340="","",List!K340)</f>
        <v/>
      </c>
    </row>
    <row r="341" spans="1:1" hidden="1" x14ac:dyDescent="0.25">
      <c r="A341" s="1" t="str">
        <f>IF(List!K341="","",List!K341)</f>
        <v/>
      </c>
    </row>
    <row r="342" spans="1:1" hidden="1" x14ac:dyDescent="0.25">
      <c r="A342" s="1" t="str">
        <f>IF(List!K342="","",List!K342)</f>
        <v/>
      </c>
    </row>
    <row r="343" spans="1:1" hidden="1" x14ac:dyDescent="0.25">
      <c r="A343" s="1" t="str">
        <f>IF(List!K343="","",List!K343)</f>
        <v/>
      </c>
    </row>
    <row r="344" spans="1:1" hidden="1" x14ac:dyDescent="0.25">
      <c r="A344" s="1" t="str">
        <f>IF(List!K344="","",List!K344)</f>
        <v/>
      </c>
    </row>
    <row r="345" spans="1:1" hidden="1" x14ac:dyDescent="0.25">
      <c r="A345" s="1" t="str">
        <f>IF(List!K345="","",List!K345)</f>
        <v/>
      </c>
    </row>
    <row r="346" spans="1:1" hidden="1" x14ac:dyDescent="0.25">
      <c r="A346" s="1" t="str">
        <f>IF(List!K346="","",List!K346)</f>
        <v/>
      </c>
    </row>
    <row r="347" spans="1:1" hidden="1" x14ac:dyDescent="0.25">
      <c r="A347" s="1" t="str">
        <f>IF(List!K347="","",List!K347)</f>
        <v/>
      </c>
    </row>
    <row r="348" spans="1:1" hidden="1" x14ac:dyDescent="0.25">
      <c r="A348" s="1" t="str">
        <f>IF(List!K348="","",List!K348)</f>
        <v/>
      </c>
    </row>
    <row r="349" spans="1:1" hidden="1" x14ac:dyDescent="0.25">
      <c r="A349" s="1" t="str">
        <f>IF(List!K349="","",List!K349)</f>
        <v/>
      </c>
    </row>
    <row r="350" spans="1:1" hidden="1" x14ac:dyDescent="0.25">
      <c r="A350" s="1" t="str">
        <f>IF(List!K350="","",List!K350)</f>
        <v/>
      </c>
    </row>
    <row r="351" spans="1:1" hidden="1" x14ac:dyDescent="0.25">
      <c r="A351" s="1" t="str">
        <f>IF(List!K351="","",List!K351)</f>
        <v/>
      </c>
    </row>
    <row r="352" spans="1:1" hidden="1" x14ac:dyDescent="0.25">
      <c r="A352" s="1" t="str">
        <f>IF(List!K352="","",List!K352)</f>
        <v/>
      </c>
    </row>
    <row r="353" spans="1:1" hidden="1" x14ac:dyDescent="0.25">
      <c r="A353" s="1" t="str">
        <f>IF(List!K353="","",List!K353)</f>
        <v/>
      </c>
    </row>
    <row r="354" spans="1:1" hidden="1" x14ac:dyDescent="0.25">
      <c r="A354" s="1" t="str">
        <f>IF(List!K354="","",List!K354)</f>
        <v/>
      </c>
    </row>
    <row r="355" spans="1:1" hidden="1" x14ac:dyDescent="0.25">
      <c r="A355" s="1" t="str">
        <f>IF(List!K355="","",List!K355)</f>
        <v/>
      </c>
    </row>
    <row r="356" spans="1:1" hidden="1" x14ac:dyDescent="0.25">
      <c r="A356" s="1" t="str">
        <f>IF(List!K356="","",List!K356)</f>
        <v/>
      </c>
    </row>
    <row r="357" spans="1:1" hidden="1" x14ac:dyDescent="0.25">
      <c r="A357" s="1" t="str">
        <f>IF(List!K357="","",List!K357)</f>
        <v/>
      </c>
    </row>
    <row r="358" spans="1:1" hidden="1" x14ac:dyDescent="0.25">
      <c r="A358" s="1" t="str">
        <f>IF(List!K358="","",List!K358)</f>
        <v/>
      </c>
    </row>
    <row r="359" spans="1:1" hidden="1" x14ac:dyDescent="0.25">
      <c r="A359" s="1" t="str">
        <f>IF(List!K359="","",List!K359)</f>
        <v/>
      </c>
    </row>
    <row r="360" spans="1:1" hidden="1" x14ac:dyDescent="0.25">
      <c r="A360" s="1" t="str">
        <f>IF(List!K360="","",List!K360)</f>
        <v/>
      </c>
    </row>
    <row r="361" spans="1:1" hidden="1" x14ac:dyDescent="0.25">
      <c r="A361" s="1" t="str">
        <f>IF(List!K361="","",List!K361)</f>
        <v/>
      </c>
    </row>
    <row r="362" spans="1:1" hidden="1" x14ac:dyDescent="0.25">
      <c r="A362" s="1" t="str">
        <f>IF(List!K362="","",List!K362)</f>
        <v/>
      </c>
    </row>
    <row r="363" spans="1:1" hidden="1" x14ac:dyDescent="0.25">
      <c r="A363" s="1" t="str">
        <f>IF(List!K363="","",List!K363)</f>
        <v/>
      </c>
    </row>
    <row r="364" spans="1:1" hidden="1" x14ac:dyDescent="0.25">
      <c r="A364" s="1" t="str">
        <f>IF(List!K364="","",List!K364)</f>
        <v/>
      </c>
    </row>
    <row r="365" spans="1:1" hidden="1" x14ac:dyDescent="0.25">
      <c r="A365" s="1" t="str">
        <f>IF(List!K365="","",List!K365)</f>
        <v/>
      </c>
    </row>
    <row r="366" spans="1:1" hidden="1" x14ac:dyDescent="0.25">
      <c r="A366" s="1" t="str">
        <f>IF(List!K366="","",List!K366)</f>
        <v/>
      </c>
    </row>
    <row r="367" spans="1:1" hidden="1" x14ac:dyDescent="0.25">
      <c r="A367" s="1" t="str">
        <f>IF(List!K367="","",List!K367)</f>
        <v/>
      </c>
    </row>
    <row r="368" spans="1:1" hidden="1" x14ac:dyDescent="0.25">
      <c r="A368" s="1" t="str">
        <f>IF(List!K368="","",List!K368)</f>
        <v/>
      </c>
    </row>
    <row r="369" spans="1:1" hidden="1" x14ac:dyDescent="0.25">
      <c r="A369" s="1" t="str">
        <f>IF(List!K369="","",List!K369)</f>
        <v/>
      </c>
    </row>
    <row r="370" spans="1:1" hidden="1" x14ac:dyDescent="0.25">
      <c r="A370" s="1" t="str">
        <f>IF(List!K370="","",List!K370)</f>
        <v/>
      </c>
    </row>
    <row r="371" spans="1:1" hidden="1" x14ac:dyDescent="0.25">
      <c r="A371" s="1" t="str">
        <f>IF(List!K371="","",List!K371)</f>
        <v/>
      </c>
    </row>
    <row r="372" spans="1:1" hidden="1" x14ac:dyDescent="0.25">
      <c r="A372" s="1" t="str">
        <f>IF(List!K372="","",List!K372)</f>
        <v/>
      </c>
    </row>
    <row r="373" spans="1:1" hidden="1" x14ac:dyDescent="0.25">
      <c r="A373" s="1" t="str">
        <f>IF(List!K373="","",List!K373)</f>
        <v/>
      </c>
    </row>
    <row r="374" spans="1:1" hidden="1" x14ac:dyDescent="0.25">
      <c r="A374" s="1" t="str">
        <f>IF(List!K374="","",List!K374)</f>
        <v/>
      </c>
    </row>
    <row r="375" spans="1:1" hidden="1" x14ac:dyDescent="0.25">
      <c r="A375" s="1" t="str">
        <f>IF(List!K375="","",List!K375)</f>
        <v/>
      </c>
    </row>
    <row r="376" spans="1:1" hidden="1" x14ac:dyDescent="0.25">
      <c r="A376" s="1" t="str">
        <f>IF(List!K376="","",List!K376)</f>
        <v/>
      </c>
    </row>
    <row r="377" spans="1:1" hidden="1" x14ac:dyDescent="0.25">
      <c r="A377" s="1" t="str">
        <f>IF(List!K377="","",List!K377)</f>
        <v/>
      </c>
    </row>
    <row r="378" spans="1:1" hidden="1" x14ac:dyDescent="0.25">
      <c r="A378" s="1" t="str">
        <f>IF(List!K378="","",List!K378)</f>
        <v/>
      </c>
    </row>
    <row r="379" spans="1:1" hidden="1" x14ac:dyDescent="0.25">
      <c r="A379" s="1" t="str">
        <f>IF(List!K379="","",List!K379)</f>
        <v/>
      </c>
    </row>
    <row r="380" spans="1:1" hidden="1" x14ac:dyDescent="0.25">
      <c r="A380" s="1" t="str">
        <f>IF(List!K380="","",List!K380)</f>
        <v/>
      </c>
    </row>
    <row r="381" spans="1:1" hidden="1" x14ac:dyDescent="0.25">
      <c r="A381" s="1" t="str">
        <f>IF(List!K381="","",List!K381)</f>
        <v/>
      </c>
    </row>
    <row r="382" spans="1:1" hidden="1" x14ac:dyDescent="0.25">
      <c r="A382" s="1" t="str">
        <f>IF(List!K382="","",List!K382)</f>
        <v/>
      </c>
    </row>
    <row r="383" spans="1:1" hidden="1" x14ac:dyDescent="0.25">
      <c r="A383" s="1" t="str">
        <f>IF(List!K383="","",List!K383)</f>
        <v/>
      </c>
    </row>
    <row r="384" spans="1:1" hidden="1" x14ac:dyDescent="0.25">
      <c r="A384" s="1" t="str">
        <f>IF(List!K384="","",List!K384)</f>
        <v/>
      </c>
    </row>
    <row r="385" spans="1:1" hidden="1" x14ac:dyDescent="0.25">
      <c r="A385" s="1" t="str">
        <f>IF(List!K385="","",List!K385)</f>
        <v/>
      </c>
    </row>
    <row r="386" spans="1:1" hidden="1" x14ac:dyDescent="0.25">
      <c r="A386" s="1" t="str">
        <f>IF(List!K386="","",List!K386)</f>
        <v/>
      </c>
    </row>
    <row r="387" spans="1:1" hidden="1" x14ac:dyDescent="0.25">
      <c r="A387" s="1" t="str">
        <f>IF(List!K387="","",List!K387)</f>
        <v/>
      </c>
    </row>
    <row r="388" spans="1:1" hidden="1" x14ac:dyDescent="0.25">
      <c r="A388" s="1" t="str">
        <f>IF(List!K388="","",List!K388)</f>
        <v/>
      </c>
    </row>
    <row r="389" spans="1:1" hidden="1" x14ac:dyDescent="0.25">
      <c r="A389" s="1" t="str">
        <f>IF(List!K389="","",List!K389)</f>
        <v/>
      </c>
    </row>
    <row r="390" spans="1:1" hidden="1" x14ac:dyDescent="0.25">
      <c r="A390" s="1" t="str">
        <f>IF(List!K390="","",List!K390)</f>
        <v/>
      </c>
    </row>
    <row r="391" spans="1:1" hidden="1" x14ac:dyDescent="0.25">
      <c r="A391" s="1" t="str">
        <f>IF(List!K391="","",List!K391)</f>
        <v/>
      </c>
    </row>
    <row r="392" spans="1:1" hidden="1" x14ac:dyDescent="0.25">
      <c r="A392" s="1" t="str">
        <f>IF(List!K392="","",List!K392)</f>
        <v/>
      </c>
    </row>
    <row r="393" spans="1:1" hidden="1" x14ac:dyDescent="0.25">
      <c r="A393" s="1" t="str">
        <f>IF(List!K393="","",List!K393)</f>
        <v/>
      </c>
    </row>
    <row r="394" spans="1:1" hidden="1" x14ac:dyDescent="0.25">
      <c r="A394" s="1" t="str">
        <f>IF(List!K394="","",List!K394)</f>
        <v/>
      </c>
    </row>
    <row r="395" spans="1:1" hidden="1" x14ac:dyDescent="0.25">
      <c r="A395" s="1" t="str">
        <f>IF(List!K395="","",List!K395)</f>
        <v/>
      </c>
    </row>
    <row r="396" spans="1:1" hidden="1" x14ac:dyDescent="0.25">
      <c r="A396" s="1" t="str">
        <f>IF(List!K396="","",List!K396)</f>
        <v/>
      </c>
    </row>
    <row r="397" spans="1:1" hidden="1" x14ac:dyDescent="0.25">
      <c r="A397" s="1" t="str">
        <f>IF(List!K397="","",List!K397)</f>
        <v/>
      </c>
    </row>
    <row r="398" spans="1:1" hidden="1" x14ac:dyDescent="0.25">
      <c r="A398" s="1" t="str">
        <f>IF(List!K398="","",List!K398)</f>
        <v/>
      </c>
    </row>
    <row r="399" spans="1:1" hidden="1" x14ac:dyDescent="0.25">
      <c r="A399" s="1" t="str">
        <f>IF(List!K399="","",List!K399)</f>
        <v/>
      </c>
    </row>
    <row r="400" spans="1:1" hidden="1" x14ac:dyDescent="0.25">
      <c r="A400" s="1" t="str">
        <f>IF(List!K400="","",List!K400)</f>
        <v/>
      </c>
    </row>
    <row r="401" spans="1:1" hidden="1" x14ac:dyDescent="0.25">
      <c r="A401" s="1" t="str">
        <f>IF(List!K401="","",List!K401)</f>
        <v/>
      </c>
    </row>
    <row r="402" spans="1:1" hidden="1" x14ac:dyDescent="0.25">
      <c r="A402" s="1" t="str">
        <f>IF(List!K402="","",List!K402)</f>
        <v/>
      </c>
    </row>
    <row r="403" spans="1:1" hidden="1" x14ac:dyDescent="0.25">
      <c r="A403" s="1" t="str">
        <f>IF(List!K403="","",List!K403)</f>
        <v/>
      </c>
    </row>
    <row r="404" spans="1:1" hidden="1" x14ac:dyDescent="0.25">
      <c r="A404" s="1" t="str">
        <f>IF(List!K404="","",List!K404)</f>
        <v/>
      </c>
    </row>
    <row r="405" spans="1:1" hidden="1" x14ac:dyDescent="0.25">
      <c r="A405" s="1" t="str">
        <f>IF(List!K405="","",List!K405)</f>
        <v/>
      </c>
    </row>
    <row r="406" spans="1:1" hidden="1" x14ac:dyDescent="0.25">
      <c r="A406" s="1" t="str">
        <f>IF(List!K406="","",List!K406)</f>
        <v/>
      </c>
    </row>
    <row r="407" spans="1:1" hidden="1" x14ac:dyDescent="0.25">
      <c r="A407" s="1" t="str">
        <f>IF(List!K407="","",List!K407)</f>
        <v/>
      </c>
    </row>
    <row r="408" spans="1:1" hidden="1" x14ac:dyDescent="0.25">
      <c r="A408" s="1" t="str">
        <f>IF(List!K408="","",List!K408)</f>
        <v/>
      </c>
    </row>
    <row r="409" spans="1:1" hidden="1" x14ac:dyDescent="0.25">
      <c r="A409" s="1" t="str">
        <f>IF(List!K409="","",List!K409)</f>
        <v/>
      </c>
    </row>
    <row r="410" spans="1:1" hidden="1" x14ac:dyDescent="0.25">
      <c r="A410" s="1" t="str">
        <f>IF(List!K410="","",List!K410)</f>
        <v/>
      </c>
    </row>
    <row r="411" spans="1:1" hidden="1" x14ac:dyDescent="0.25">
      <c r="A411" s="1" t="str">
        <f>IF(List!K411="","",List!K411)</f>
        <v/>
      </c>
    </row>
    <row r="412" spans="1:1" hidden="1" x14ac:dyDescent="0.25">
      <c r="A412" s="1" t="str">
        <f>IF(List!K412="","",List!K412)</f>
        <v/>
      </c>
    </row>
    <row r="413" spans="1:1" hidden="1" x14ac:dyDescent="0.25">
      <c r="A413" s="1" t="str">
        <f>IF(List!K413="","",List!K413)</f>
        <v/>
      </c>
    </row>
    <row r="414" spans="1:1" hidden="1" x14ac:dyDescent="0.25">
      <c r="A414" s="1" t="str">
        <f>IF(List!K414="","",List!K414)</f>
        <v/>
      </c>
    </row>
    <row r="415" spans="1:1" hidden="1" x14ac:dyDescent="0.25">
      <c r="A415" s="1" t="str">
        <f>IF(List!K415="","",List!K415)</f>
        <v/>
      </c>
    </row>
    <row r="416" spans="1:1" hidden="1" x14ac:dyDescent="0.25">
      <c r="A416" s="1" t="str">
        <f>IF(List!K416="","",List!K416)</f>
        <v/>
      </c>
    </row>
    <row r="417" spans="1:1" hidden="1" x14ac:dyDescent="0.25">
      <c r="A417" s="1" t="str">
        <f>IF(List!K417="","",List!K417)</f>
        <v/>
      </c>
    </row>
    <row r="418" spans="1:1" hidden="1" x14ac:dyDescent="0.25">
      <c r="A418" s="1" t="str">
        <f>IF(List!K418="","",List!K418)</f>
        <v/>
      </c>
    </row>
    <row r="419" spans="1:1" hidden="1" x14ac:dyDescent="0.25">
      <c r="A419" s="1" t="str">
        <f>IF(List!K419="","",List!K419)</f>
        <v/>
      </c>
    </row>
    <row r="420" spans="1:1" hidden="1" x14ac:dyDescent="0.25">
      <c r="A420" s="1" t="str">
        <f>IF(List!K420="","",List!K420)</f>
        <v/>
      </c>
    </row>
    <row r="421" spans="1:1" hidden="1" x14ac:dyDescent="0.25">
      <c r="A421" s="1" t="str">
        <f>IF(List!K421="","",List!K421)</f>
        <v/>
      </c>
    </row>
    <row r="422" spans="1:1" hidden="1" x14ac:dyDescent="0.25">
      <c r="A422" s="1" t="str">
        <f>IF(List!K422="","",List!K422)</f>
        <v/>
      </c>
    </row>
    <row r="423" spans="1:1" hidden="1" x14ac:dyDescent="0.25">
      <c r="A423" s="1" t="str">
        <f>IF(List!K423="","",List!K423)</f>
        <v/>
      </c>
    </row>
    <row r="424" spans="1:1" hidden="1" x14ac:dyDescent="0.25">
      <c r="A424" s="1" t="str">
        <f>IF(List!K424="","",List!K424)</f>
        <v/>
      </c>
    </row>
    <row r="425" spans="1:1" hidden="1" x14ac:dyDescent="0.25">
      <c r="A425" s="1" t="str">
        <f>IF(List!K425="","",List!K425)</f>
        <v/>
      </c>
    </row>
    <row r="426" spans="1:1" hidden="1" x14ac:dyDescent="0.25">
      <c r="A426" s="1" t="str">
        <f>IF(List!K426="","",List!K426)</f>
        <v/>
      </c>
    </row>
    <row r="427" spans="1:1" hidden="1" x14ac:dyDescent="0.25">
      <c r="A427" s="1" t="str">
        <f>IF(List!K427="","",List!K427)</f>
        <v/>
      </c>
    </row>
    <row r="428" spans="1:1" hidden="1" x14ac:dyDescent="0.25">
      <c r="A428" s="1" t="str">
        <f>IF(List!K428="","",List!K428)</f>
        <v/>
      </c>
    </row>
    <row r="429" spans="1:1" hidden="1" x14ac:dyDescent="0.25">
      <c r="A429" s="1" t="str">
        <f>IF(List!K429="","",List!K429)</f>
        <v/>
      </c>
    </row>
    <row r="430" spans="1:1" hidden="1" x14ac:dyDescent="0.25">
      <c r="A430" s="1" t="str">
        <f>IF(List!K430="","",List!K430)</f>
        <v/>
      </c>
    </row>
    <row r="431" spans="1:1" hidden="1" x14ac:dyDescent="0.25">
      <c r="A431" s="1" t="str">
        <f>IF(List!K431="","",List!K431)</f>
        <v/>
      </c>
    </row>
    <row r="432" spans="1:1" hidden="1" x14ac:dyDescent="0.25">
      <c r="A432" s="1" t="str">
        <f>IF(List!K432="","",List!K432)</f>
        <v/>
      </c>
    </row>
    <row r="433" spans="1:1" hidden="1" x14ac:dyDescent="0.25">
      <c r="A433" s="1" t="str">
        <f>IF(List!K433="","",List!K433)</f>
        <v/>
      </c>
    </row>
    <row r="434" spans="1:1" hidden="1" x14ac:dyDescent="0.25">
      <c r="A434" s="1" t="str">
        <f>IF(List!K434="","",List!K434)</f>
        <v/>
      </c>
    </row>
    <row r="435" spans="1:1" hidden="1" x14ac:dyDescent="0.25">
      <c r="A435" s="1" t="str">
        <f>IF(List!K435="","",List!K435)</f>
        <v/>
      </c>
    </row>
    <row r="436" spans="1:1" hidden="1" x14ac:dyDescent="0.25">
      <c r="A436" s="1" t="str">
        <f>IF(List!K436="","",List!K436)</f>
        <v/>
      </c>
    </row>
    <row r="437" spans="1:1" hidden="1" x14ac:dyDescent="0.25">
      <c r="A437" s="1" t="str">
        <f>IF(List!K437="","",List!K437)</f>
        <v/>
      </c>
    </row>
    <row r="438" spans="1:1" hidden="1" x14ac:dyDescent="0.25">
      <c r="A438" s="1" t="str">
        <f>IF(List!K438="","",List!K438)</f>
        <v/>
      </c>
    </row>
    <row r="439" spans="1:1" hidden="1" x14ac:dyDescent="0.25">
      <c r="A439" s="1" t="str">
        <f>IF(List!K439="","",List!K439)</f>
        <v/>
      </c>
    </row>
    <row r="440" spans="1:1" hidden="1" x14ac:dyDescent="0.25">
      <c r="A440" s="1" t="str">
        <f>IF(List!K440="","",List!K440)</f>
        <v/>
      </c>
    </row>
    <row r="441" spans="1:1" hidden="1" x14ac:dyDescent="0.25">
      <c r="A441" s="1" t="str">
        <f>IF(List!K441="","",List!K441)</f>
        <v/>
      </c>
    </row>
    <row r="442" spans="1:1" hidden="1" x14ac:dyDescent="0.25">
      <c r="A442" s="1" t="str">
        <f>IF(List!K442="","",List!K442)</f>
        <v/>
      </c>
    </row>
    <row r="443" spans="1:1" hidden="1" x14ac:dyDescent="0.25">
      <c r="A443" s="1" t="str">
        <f>IF(List!K443="","",List!K443)</f>
        <v/>
      </c>
    </row>
    <row r="444" spans="1:1" hidden="1" x14ac:dyDescent="0.25">
      <c r="A444" s="1" t="str">
        <f>IF(List!K444="","",List!K444)</f>
        <v/>
      </c>
    </row>
    <row r="445" spans="1:1" hidden="1" x14ac:dyDescent="0.25">
      <c r="A445" s="1" t="str">
        <f>IF(List!K445="","",List!K445)</f>
        <v/>
      </c>
    </row>
    <row r="446" spans="1:1" hidden="1" x14ac:dyDescent="0.25">
      <c r="A446" s="1" t="str">
        <f>IF(List!K446="","",List!K446)</f>
        <v/>
      </c>
    </row>
    <row r="447" spans="1:1" hidden="1" x14ac:dyDescent="0.25">
      <c r="A447" s="1" t="str">
        <f>IF(List!K447="","",List!K447)</f>
        <v/>
      </c>
    </row>
    <row r="448" spans="1:1" hidden="1" x14ac:dyDescent="0.25">
      <c r="A448" s="1" t="str">
        <f>IF(List!K448="","",List!K448)</f>
        <v/>
      </c>
    </row>
    <row r="449" spans="1:1" hidden="1" x14ac:dyDescent="0.25">
      <c r="A449" s="1" t="str">
        <f>IF(List!K449="","",List!K449)</f>
        <v/>
      </c>
    </row>
    <row r="450" spans="1:1" hidden="1" x14ac:dyDescent="0.25">
      <c r="A450" s="1" t="str">
        <f>IF(List!K450="","",List!K450)</f>
        <v/>
      </c>
    </row>
    <row r="451" spans="1:1" hidden="1" x14ac:dyDescent="0.25">
      <c r="A451" s="1" t="str">
        <f>IF(List!K451="","",List!K451)</f>
        <v/>
      </c>
    </row>
    <row r="452" spans="1:1" hidden="1" x14ac:dyDescent="0.25">
      <c r="A452" s="1" t="str">
        <f>IF(List!K452="","",List!K452)</f>
        <v/>
      </c>
    </row>
    <row r="453" spans="1:1" hidden="1" x14ac:dyDescent="0.25">
      <c r="A453" s="1" t="str">
        <f>IF(List!K453="","",List!K453)</f>
        <v/>
      </c>
    </row>
    <row r="454" spans="1:1" hidden="1" x14ac:dyDescent="0.25">
      <c r="A454" s="1" t="str">
        <f>IF(List!K454="","",List!K454)</f>
        <v/>
      </c>
    </row>
    <row r="455" spans="1:1" hidden="1" x14ac:dyDescent="0.25">
      <c r="A455" s="1" t="str">
        <f>IF(List!K455="","",List!K455)</f>
        <v/>
      </c>
    </row>
    <row r="456" spans="1:1" hidden="1" x14ac:dyDescent="0.25">
      <c r="A456" s="1" t="str">
        <f>IF(List!K456="","",List!K456)</f>
        <v/>
      </c>
    </row>
    <row r="457" spans="1:1" hidden="1" x14ac:dyDescent="0.25">
      <c r="A457" s="1" t="str">
        <f>IF(List!K457="","",List!K457)</f>
        <v/>
      </c>
    </row>
    <row r="458" spans="1:1" hidden="1" x14ac:dyDescent="0.25">
      <c r="A458" s="1" t="str">
        <f>IF(List!K458="","",List!K458)</f>
        <v/>
      </c>
    </row>
    <row r="459" spans="1:1" hidden="1" x14ac:dyDescent="0.25">
      <c r="A459" s="1" t="str">
        <f>IF(List!K459="","",List!K459)</f>
        <v/>
      </c>
    </row>
    <row r="460" spans="1:1" hidden="1" x14ac:dyDescent="0.25">
      <c r="A460" s="1" t="str">
        <f>IF(List!K460="","",List!K460)</f>
        <v/>
      </c>
    </row>
    <row r="461" spans="1:1" hidden="1" x14ac:dyDescent="0.25">
      <c r="A461" s="1" t="str">
        <f>IF(List!K461="","",List!K461)</f>
        <v/>
      </c>
    </row>
    <row r="462" spans="1:1" hidden="1" x14ac:dyDescent="0.25">
      <c r="A462" s="1" t="str">
        <f>IF(List!K462="","",List!K462)</f>
        <v/>
      </c>
    </row>
    <row r="463" spans="1:1" hidden="1" x14ac:dyDescent="0.25">
      <c r="A463" s="1" t="str">
        <f>IF(List!K463="","",List!K463)</f>
        <v/>
      </c>
    </row>
    <row r="464" spans="1:1" hidden="1" x14ac:dyDescent="0.25">
      <c r="A464" s="1" t="str">
        <f>IF(List!K464="","",List!K464)</f>
        <v/>
      </c>
    </row>
    <row r="465" spans="1:1" hidden="1" x14ac:dyDescent="0.25">
      <c r="A465" s="1" t="str">
        <f>IF(List!K465="","",List!K465)</f>
        <v/>
      </c>
    </row>
    <row r="466" spans="1:1" hidden="1" x14ac:dyDescent="0.25">
      <c r="A466" s="1" t="str">
        <f>IF(List!K466="","",List!K466)</f>
        <v/>
      </c>
    </row>
    <row r="467" spans="1:1" hidden="1" x14ac:dyDescent="0.25">
      <c r="A467" s="1" t="str">
        <f>IF(List!K467="","",List!K467)</f>
        <v/>
      </c>
    </row>
    <row r="468" spans="1:1" hidden="1" x14ac:dyDescent="0.25">
      <c r="A468" s="1" t="str">
        <f>IF(List!K468="","",List!K468)</f>
        <v/>
      </c>
    </row>
    <row r="469" spans="1:1" hidden="1" x14ac:dyDescent="0.25">
      <c r="A469" s="1" t="str">
        <f>IF(List!K469="","",List!K469)</f>
        <v/>
      </c>
    </row>
    <row r="470" spans="1:1" hidden="1" x14ac:dyDescent="0.25">
      <c r="A470" s="1" t="str">
        <f>IF(List!K470="","",List!K470)</f>
        <v/>
      </c>
    </row>
    <row r="471" spans="1:1" hidden="1" x14ac:dyDescent="0.25">
      <c r="A471" s="1" t="str">
        <f>IF(List!K471="","",List!K471)</f>
        <v/>
      </c>
    </row>
    <row r="472" spans="1:1" hidden="1" x14ac:dyDescent="0.25">
      <c r="A472" s="1" t="str">
        <f>IF(List!K472="","",List!K472)</f>
        <v/>
      </c>
    </row>
    <row r="473" spans="1:1" hidden="1" x14ac:dyDescent="0.25">
      <c r="A473" s="1" t="str">
        <f>IF(List!K473="","",List!K473)</f>
        <v/>
      </c>
    </row>
    <row r="474" spans="1:1" hidden="1" x14ac:dyDescent="0.25">
      <c r="A474" s="1" t="str">
        <f>IF(List!K474="","",List!K474)</f>
        <v/>
      </c>
    </row>
    <row r="475" spans="1:1" hidden="1" x14ac:dyDescent="0.25">
      <c r="A475" s="1" t="str">
        <f>IF(List!K475="","",List!K475)</f>
        <v/>
      </c>
    </row>
    <row r="476" spans="1:1" hidden="1" x14ac:dyDescent="0.25">
      <c r="A476" s="1" t="str">
        <f>IF(List!K476="","",List!K476)</f>
        <v/>
      </c>
    </row>
    <row r="477" spans="1:1" hidden="1" x14ac:dyDescent="0.25">
      <c r="A477" s="1" t="str">
        <f>IF(List!K477="","",List!K477)</f>
        <v/>
      </c>
    </row>
    <row r="478" spans="1:1" hidden="1" x14ac:dyDescent="0.25">
      <c r="A478" s="1" t="str">
        <f>IF(List!K478="","",List!K478)</f>
        <v/>
      </c>
    </row>
    <row r="479" spans="1:1" hidden="1" x14ac:dyDescent="0.25">
      <c r="A479" s="1" t="str">
        <f>IF(List!K479="","",List!K479)</f>
        <v/>
      </c>
    </row>
    <row r="480" spans="1:1" hidden="1" x14ac:dyDescent="0.25">
      <c r="A480" s="1" t="str">
        <f>IF(List!K480="","",List!K480)</f>
        <v/>
      </c>
    </row>
    <row r="481" spans="1:1" hidden="1" x14ac:dyDescent="0.25">
      <c r="A481" s="1" t="str">
        <f>IF(List!K481="","",List!K481)</f>
        <v/>
      </c>
    </row>
    <row r="482" spans="1:1" hidden="1" x14ac:dyDescent="0.25">
      <c r="A482" s="1" t="str">
        <f>IF(List!K482="","",List!K482)</f>
        <v/>
      </c>
    </row>
    <row r="483" spans="1:1" hidden="1" x14ac:dyDescent="0.25">
      <c r="A483" s="1" t="str">
        <f>IF(List!K483="","",List!K483)</f>
        <v/>
      </c>
    </row>
    <row r="484" spans="1:1" hidden="1" x14ac:dyDescent="0.25">
      <c r="A484" s="1" t="str">
        <f>IF(List!K484="","",List!K484)</f>
        <v/>
      </c>
    </row>
    <row r="485" spans="1:1" hidden="1" x14ac:dyDescent="0.25">
      <c r="A485" s="1" t="str">
        <f>IF(List!K485="","",List!K485)</f>
        <v/>
      </c>
    </row>
    <row r="486" spans="1:1" hidden="1" x14ac:dyDescent="0.25">
      <c r="A486" s="1" t="str">
        <f>IF(List!K486="","",List!K486)</f>
        <v/>
      </c>
    </row>
    <row r="487" spans="1:1" hidden="1" x14ac:dyDescent="0.25">
      <c r="A487" s="1" t="str">
        <f>IF(List!K487="","",List!K487)</f>
        <v/>
      </c>
    </row>
    <row r="488" spans="1:1" hidden="1" x14ac:dyDescent="0.25">
      <c r="A488" s="1" t="str">
        <f>IF(List!K488="","",List!K488)</f>
        <v/>
      </c>
    </row>
    <row r="489" spans="1:1" hidden="1" x14ac:dyDescent="0.25">
      <c r="A489" s="1" t="str">
        <f>IF(List!K489="","",List!K489)</f>
        <v/>
      </c>
    </row>
    <row r="490" spans="1:1" hidden="1" x14ac:dyDescent="0.25">
      <c r="A490" s="1" t="str">
        <f>IF(List!K490="","",List!K490)</f>
        <v/>
      </c>
    </row>
    <row r="491" spans="1:1" hidden="1" x14ac:dyDescent="0.25">
      <c r="A491" s="1" t="str">
        <f>IF(List!K491="","",List!K491)</f>
        <v/>
      </c>
    </row>
    <row r="492" spans="1:1" hidden="1" x14ac:dyDescent="0.25">
      <c r="A492" s="1" t="str">
        <f>IF(List!K492="","",List!K492)</f>
        <v/>
      </c>
    </row>
    <row r="493" spans="1:1" hidden="1" x14ac:dyDescent="0.25">
      <c r="A493" s="1" t="str">
        <f>IF(List!K493="","",List!K493)</f>
        <v/>
      </c>
    </row>
    <row r="494" spans="1:1" hidden="1" x14ac:dyDescent="0.25">
      <c r="A494" s="1" t="str">
        <f>IF(List!K494="","",List!K494)</f>
        <v/>
      </c>
    </row>
    <row r="495" spans="1:1" hidden="1" x14ac:dyDescent="0.25">
      <c r="A495" s="1" t="str">
        <f>IF(List!K495="","",List!K495)</f>
        <v/>
      </c>
    </row>
    <row r="496" spans="1:1" hidden="1" x14ac:dyDescent="0.25">
      <c r="A496" s="1" t="str">
        <f>IF(List!K496="","",List!K496)</f>
        <v/>
      </c>
    </row>
    <row r="497" spans="1:1" hidden="1" x14ac:dyDescent="0.25">
      <c r="A497" s="1" t="str">
        <f>IF(List!K497="","",List!K497)</f>
        <v/>
      </c>
    </row>
    <row r="498" spans="1:1" hidden="1" x14ac:dyDescent="0.25">
      <c r="A498" s="1" t="str">
        <f>IF(List!K498="","",List!K498)</f>
        <v/>
      </c>
    </row>
    <row r="499" spans="1:1" hidden="1" x14ac:dyDescent="0.25">
      <c r="A499" s="1" t="str">
        <f>IF(List!K499="","",List!K499)</f>
        <v/>
      </c>
    </row>
    <row r="500" spans="1:1" x14ac:dyDescent="0.25">
      <c r="A500" s="1" t="str">
        <f>IF(List!K500="","",List!K500)</f>
        <v xml:space="preserve">    X (  QK_MACRO_0                                   , 0x7700,    "M0"     ) \</v>
      </c>
    </row>
    <row r="501" spans="1:1" x14ac:dyDescent="0.25">
      <c r="A501" s="1" t="str">
        <f>IF(List!K501="","",List!K501)</f>
        <v xml:space="preserve">    X (  QK_MACRO_1                                   , 0x7701,    "M1"     ) \</v>
      </c>
    </row>
    <row r="502" spans="1:1" x14ac:dyDescent="0.25">
      <c r="A502" s="1" t="str">
        <f>IF(List!K502="","",List!K502)</f>
        <v xml:space="preserve">    X (  QK_MACRO_2                                   , 0x7702,    "M2"     ) \</v>
      </c>
    </row>
    <row r="503" spans="1:1" x14ac:dyDescent="0.25">
      <c r="A503" s="1" t="str">
        <f>IF(List!K503="","",List!K503)</f>
        <v xml:space="preserve">    X (  QK_MACRO_3                                   , 0x7703,    "M3"     ) \</v>
      </c>
    </row>
    <row r="504" spans="1:1" x14ac:dyDescent="0.25">
      <c r="A504" s="1" t="str">
        <f>IF(List!K504="","",List!K504)</f>
        <v xml:space="preserve">    X (  QK_MACRO_4                                   , 0x7704,    "M4"     ) \</v>
      </c>
    </row>
    <row r="505" spans="1:1" x14ac:dyDescent="0.25">
      <c r="A505" s="1" t="str">
        <f>IF(List!K505="","",List!K505)</f>
        <v xml:space="preserve">    X (  QK_MACRO_5                                   , 0x7705,    "M5"     ) \</v>
      </c>
    </row>
    <row r="506" spans="1:1" x14ac:dyDescent="0.25">
      <c r="A506" s="1" t="str">
        <f>IF(List!K506="","",List!K506)</f>
        <v xml:space="preserve">    X (  QK_MACRO_6                                   , 0x7706,    "M6"     ) \</v>
      </c>
    </row>
    <row r="507" spans="1:1" x14ac:dyDescent="0.25">
      <c r="A507" s="1" t="str">
        <f>IF(List!K507="","",List!K507)</f>
        <v xml:space="preserve">    X (  QK_MACRO_7                                   , 0x7707,    "M7"     ) \</v>
      </c>
    </row>
    <row r="508" spans="1:1" x14ac:dyDescent="0.25">
      <c r="A508" s="1" t="str">
        <f>IF(List!K508="","",List!K508)</f>
        <v xml:space="preserve">    X (  QK_MACRO_8                                   , 0x7708,    "M8"     ) \</v>
      </c>
    </row>
    <row r="509" spans="1:1" x14ac:dyDescent="0.25">
      <c r="A509" s="1" t="str">
        <f>IF(List!K509="","",List!K509)</f>
        <v xml:space="preserve">    X (  QK_MACRO_9                                   , 0x7709,    "M9"     ) \</v>
      </c>
    </row>
    <row r="510" spans="1:1" x14ac:dyDescent="0.25">
      <c r="A510" s="1" t="str">
        <f>IF(List!K510="","",List!K510)</f>
        <v xml:space="preserve">    X (  QK_MACRO_10                                  , 0x770A,    "M10"     ) \</v>
      </c>
    </row>
    <row r="511" spans="1:1" x14ac:dyDescent="0.25">
      <c r="A511" s="1" t="str">
        <f>IF(List!K511="","",List!K511)</f>
        <v xml:space="preserve">    X (  QK_MACRO_11                                  , 0x770B,    "M11"     ) \</v>
      </c>
    </row>
    <row r="512" spans="1:1" x14ac:dyDescent="0.25">
      <c r="A512" s="1" t="str">
        <f>IF(List!K512="","",List!K512)</f>
        <v xml:space="preserve">    X (  QK_MACRO_12                                  , 0x770C,    "M12"     ) \</v>
      </c>
    </row>
    <row r="513" spans="1:1" x14ac:dyDescent="0.25">
      <c r="A513" s="1" t="str">
        <f>IF(List!K513="","",List!K513)</f>
        <v xml:space="preserve">    X (  QK_MACRO_13                                  , 0x770D,    "M13"     ) \</v>
      </c>
    </row>
    <row r="514" spans="1:1" x14ac:dyDescent="0.25">
      <c r="A514" s="1" t="str">
        <f>IF(List!K514="","",List!K514)</f>
        <v xml:space="preserve">    X (  QK_MACRO_14                                  , 0x770E,    "M14"     ) \</v>
      </c>
    </row>
    <row r="515" spans="1:1" x14ac:dyDescent="0.25">
      <c r="A515" s="1" t="str">
        <f>IF(List!K515="","",List!K515)</f>
        <v xml:space="preserve">    X (  QK_MACRO_15                                  , 0x770F,    "M15"     ) \</v>
      </c>
    </row>
    <row r="516" spans="1:1" x14ac:dyDescent="0.25">
      <c r="A516" s="1" t="str">
        <f>IF(List!K516="","",List!K516)</f>
        <v xml:space="preserve">    X (  QK_MACRO_16                                  , 0x7710,    "M16"     ) \</v>
      </c>
    </row>
    <row r="517" spans="1:1" x14ac:dyDescent="0.25">
      <c r="A517" s="1" t="str">
        <f>IF(List!K517="","",List!K517)</f>
        <v xml:space="preserve">    X (  QK_MACRO_17                                  , 0x7711,    "M17"     ) \</v>
      </c>
    </row>
    <row r="518" spans="1:1" x14ac:dyDescent="0.25">
      <c r="A518" s="1" t="str">
        <f>IF(List!K518="","",List!K518)</f>
        <v xml:space="preserve">    X (  QK_MACRO_18                                  , 0x7712,    "M18"     ) \</v>
      </c>
    </row>
    <row r="519" spans="1:1" x14ac:dyDescent="0.25">
      <c r="A519" s="1" t="str">
        <f>IF(List!K519="","",List!K519)</f>
        <v xml:space="preserve">    X (  QK_MACRO_19                                  , 0x7713,    "M19"     ) \</v>
      </c>
    </row>
    <row r="520" spans="1:1" x14ac:dyDescent="0.25">
      <c r="A520" s="1" t="str">
        <f>IF(List!K520="","",List!K520)</f>
        <v xml:space="preserve">    X (  QK_MACRO_20                                  , 0x7714,    "M20"     ) \</v>
      </c>
    </row>
    <row r="521" spans="1:1" x14ac:dyDescent="0.25">
      <c r="A521" s="1" t="str">
        <f>IF(List!K521="","",List!K521)</f>
        <v xml:space="preserve">    X (  QK_MACRO_21                                  , 0x7715,    "M21"     ) \</v>
      </c>
    </row>
    <row r="522" spans="1:1" x14ac:dyDescent="0.25">
      <c r="A522" s="1" t="str">
        <f>IF(List!K522="","",List!K522)</f>
        <v xml:space="preserve">    X (  QK_MACRO_22                                  , 0x7716,    "M22"     ) \</v>
      </c>
    </row>
    <row r="523" spans="1:1" x14ac:dyDescent="0.25">
      <c r="A523" s="1" t="str">
        <f>IF(List!K523="","",List!K523)</f>
        <v xml:space="preserve">    X (  QK_MACRO_23                                  , 0x7717,    "M23"     ) \</v>
      </c>
    </row>
    <row r="524" spans="1:1" x14ac:dyDescent="0.25">
      <c r="A524" s="1" t="str">
        <f>IF(List!K524="","",List!K524)</f>
        <v xml:space="preserve">    X (  QK_MACRO_24                                  , 0x7718,    "M24"     ) \</v>
      </c>
    </row>
    <row r="525" spans="1:1" x14ac:dyDescent="0.25">
      <c r="A525" s="1" t="str">
        <f>IF(List!K525="","",List!K525)</f>
        <v xml:space="preserve">    X (  QK_MACRO_25                                  , 0x7719,    "M25"     ) \</v>
      </c>
    </row>
    <row r="526" spans="1:1" x14ac:dyDescent="0.25">
      <c r="A526" s="1" t="str">
        <f>IF(List!K526="","",List!K526)</f>
        <v xml:space="preserve">    X (  QK_MACRO_26                                  , 0x771A,    "M26"     ) \</v>
      </c>
    </row>
    <row r="527" spans="1:1" x14ac:dyDescent="0.25">
      <c r="A527" s="1" t="str">
        <f>IF(List!K527="","",List!K527)</f>
        <v xml:space="preserve">    X (  QK_MACRO_27                                  , 0x771B,    "M27"     ) \</v>
      </c>
    </row>
    <row r="528" spans="1:1" x14ac:dyDescent="0.25">
      <c r="A528" s="1" t="str">
        <f>IF(List!K528="","",List!K528)</f>
        <v xml:space="preserve">    X (  QK_MACRO_28                                  , 0x771C,    "M28"     ) \</v>
      </c>
    </row>
    <row r="529" spans="1:1" x14ac:dyDescent="0.25">
      <c r="A529" s="1" t="str">
        <f>IF(List!K529="","",List!K529)</f>
        <v xml:space="preserve">    X (  QK_MACRO_29                                  , 0x771D,    "M29"     ) \</v>
      </c>
    </row>
    <row r="530" spans="1:1" x14ac:dyDescent="0.25">
      <c r="A530" s="1" t="str">
        <f>IF(List!K530="","",List!K530)</f>
        <v xml:space="preserve">    X (  QK_MACRO_30                                  , 0x771E,    "M30"     ) \</v>
      </c>
    </row>
    <row r="531" spans="1:1" x14ac:dyDescent="0.25">
      <c r="A531" s="1" t="str">
        <f>IF(List!K531="","",List!K531)</f>
        <v xml:space="preserve">    X (  QK_MACRO_31                                  , 0x771F,    "M31"     ) \</v>
      </c>
    </row>
    <row r="532" spans="1:1" hidden="1" x14ac:dyDescent="0.25">
      <c r="A532" s="1" t="str">
        <f>IF(List!K532="","",List!K532)</f>
        <v/>
      </c>
    </row>
    <row r="533" spans="1:1" hidden="1" x14ac:dyDescent="0.25">
      <c r="A533" s="1" t="str">
        <f>IF(List!K533="","",List!K533)</f>
        <v/>
      </c>
    </row>
    <row r="534" spans="1:1" hidden="1" x14ac:dyDescent="0.25">
      <c r="A534" s="1" t="str">
        <f>IF(List!K534="","",List!K534)</f>
        <v/>
      </c>
    </row>
    <row r="535" spans="1:1" hidden="1" x14ac:dyDescent="0.25">
      <c r="A535" s="1" t="str">
        <f>IF(List!K535="","",List!K535)</f>
        <v/>
      </c>
    </row>
    <row r="536" spans="1:1" hidden="1" x14ac:dyDescent="0.25">
      <c r="A536" s="1" t="str">
        <f>IF(List!K536="","",List!K536)</f>
        <v/>
      </c>
    </row>
    <row r="537" spans="1:1" hidden="1" x14ac:dyDescent="0.25">
      <c r="A537" s="1" t="str">
        <f>IF(List!K537="","",List!K537)</f>
        <v/>
      </c>
    </row>
    <row r="538" spans="1:1" hidden="1" x14ac:dyDescent="0.25">
      <c r="A538" s="1" t="str">
        <f>IF(List!K538="","",List!K538)</f>
        <v/>
      </c>
    </row>
    <row r="539" spans="1:1" hidden="1" x14ac:dyDescent="0.25">
      <c r="A539" s="1" t="str">
        <f>IF(List!K539="","",List!K539)</f>
        <v/>
      </c>
    </row>
    <row r="540" spans="1:1" hidden="1" x14ac:dyDescent="0.25">
      <c r="A540" s="1" t="str">
        <f>IF(List!K540="","",List!K540)</f>
        <v/>
      </c>
    </row>
    <row r="541" spans="1:1" hidden="1" x14ac:dyDescent="0.25">
      <c r="A541" s="1" t="str">
        <f>IF(List!K541="","",List!K541)</f>
        <v/>
      </c>
    </row>
    <row r="542" spans="1:1" hidden="1" x14ac:dyDescent="0.25">
      <c r="A542" s="1" t="str">
        <f>IF(List!K542="","",List!K542)</f>
        <v/>
      </c>
    </row>
    <row r="543" spans="1:1" hidden="1" x14ac:dyDescent="0.25">
      <c r="A543" s="1" t="str">
        <f>IF(List!K543="","",List!K543)</f>
        <v/>
      </c>
    </row>
    <row r="544" spans="1:1" hidden="1" x14ac:dyDescent="0.25">
      <c r="A544" s="1" t="str">
        <f>IF(List!K544="","",List!K544)</f>
        <v/>
      </c>
    </row>
    <row r="545" spans="1:1" hidden="1" x14ac:dyDescent="0.25">
      <c r="A545" s="1" t="str">
        <f>IF(List!K545="","",List!K545)</f>
        <v/>
      </c>
    </row>
    <row r="546" spans="1:1" hidden="1" x14ac:dyDescent="0.25">
      <c r="A546" s="1" t="str">
        <f>IF(List!K546="","",List!K546)</f>
        <v/>
      </c>
    </row>
    <row r="547" spans="1:1" hidden="1" x14ac:dyDescent="0.25">
      <c r="A547" s="1" t="str">
        <f>IF(List!K547="","",List!K547)</f>
        <v/>
      </c>
    </row>
    <row r="548" spans="1:1" hidden="1" x14ac:dyDescent="0.25">
      <c r="A548" s="1" t="str">
        <f>IF(List!K548="","",List!K548)</f>
        <v/>
      </c>
    </row>
    <row r="549" spans="1:1" hidden="1" x14ac:dyDescent="0.25">
      <c r="A549" s="1" t="str">
        <f>IF(List!K549="","",List!K549)</f>
        <v/>
      </c>
    </row>
    <row r="550" spans="1:1" hidden="1" x14ac:dyDescent="0.25">
      <c r="A550" s="1" t="str">
        <f>IF(List!K550="","",List!K550)</f>
        <v/>
      </c>
    </row>
    <row r="551" spans="1:1" hidden="1" x14ac:dyDescent="0.25">
      <c r="A551" s="1" t="str">
        <f>IF(List!K551="","",List!K551)</f>
        <v/>
      </c>
    </row>
    <row r="552" spans="1:1" hidden="1" x14ac:dyDescent="0.25">
      <c r="A552" s="1" t="str">
        <f>IF(List!K552="","",List!K552)</f>
        <v/>
      </c>
    </row>
    <row r="553" spans="1:1" hidden="1" x14ac:dyDescent="0.25">
      <c r="A553" s="1" t="str">
        <f>IF(List!K553="","",List!K553)</f>
        <v/>
      </c>
    </row>
    <row r="554" spans="1:1" hidden="1" x14ac:dyDescent="0.25">
      <c r="A554" s="1" t="str">
        <f>IF(List!K554="","",List!K554)</f>
        <v/>
      </c>
    </row>
    <row r="555" spans="1:1" hidden="1" x14ac:dyDescent="0.25">
      <c r="A555" s="1" t="str">
        <f>IF(List!K555="","",List!K555)</f>
        <v/>
      </c>
    </row>
    <row r="556" spans="1:1" hidden="1" x14ac:dyDescent="0.25">
      <c r="A556" s="1" t="str">
        <f>IF(List!K556="","",List!K556)</f>
        <v/>
      </c>
    </row>
    <row r="557" spans="1:1" hidden="1" x14ac:dyDescent="0.25">
      <c r="A557" s="1" t="str">
        <f>IF(List!K557="","",List!K557)</f>
        <v/>
      </c>
    </row>
    <row r="558" spans="1:1" hidden="1" x14ac:dyDescent="0.25">
      <c r="A558" s="1" t="str">
        <f>IF(List!K558="","",List!K558)</f>
        <v/>
      </c>
    </row>
    <row r="559" spans="1:1" hidden="1" x14ac:dyDescent="0.25">
      <c r="A559" s="1" t="str">
        <f>IF(List!K559="","",List!K559)</f>
        <v/>
      </c>
    </row>
    <row r="560" spans="1:1" hidden="1" x14ac:dyDescent="0.25">
      <c r="A560" s="1" t="str">
        <f>IF(List!K560="","",List!K560)</f>
        <v/>
      </c>
    </row>
    <row r="561" spans="1:1" hidden="1" x14ac:dyDescent="0.25">
      <c r="A561" s="1" t="str">
        <f>IF(List!K561="","",List!K561)</f>
        <v/>
      </c>
    </row>
    <row r="562" spans="1:1" hidden="1" x14ac:dyDescent="0.25">
      <c r="A562" s="1" t="str">
        <f>IF(List!K562="","",List!K562)</f>
        <v/>
      </c>
    </row>
    <row r="563" spans="1:1" hidden="1" x14ac:dyDescent="0.25">
      <c r="A563" s="1" t="str">
        <f>IF(List!K563="","",List!K563)</f>
        <v/>
      </c>
    </row>
    <row r="564" spans="1:1" hidden="1" x14ac:dyDescent="0.25">
      <c r="A564" s="1" t="str">
        <f>IF(List!K564="","",List!K564)</f>
        <v/>
      </c>
    </row>
    <row r="565" spans="1:1" hidden="1" x14ac:dyDescent="0.25">
      <c r="A565" s="1" t="str">
        <f>IF(List!K565="","",List!K565)</f>
        <v/>
      </c>
    </row>
    <row r="566" spans="1:1" hidden="1" x14ac:dyDescent="0.25">
      <c r="A566" s="1" t="str">
        <f>IF(List!K566="","",List!K566)</f>
        <v/>
      </c>
    </row>
    <row r="567" spans="1:1" hidden="1" x14ac:dyDescent="0.25">
      <c r="A567" s="1" t="str">
        <f>IF(List!K567="","",List!K567)</f>
        <v/>
      </c>
    </row>
    <row r="568" spans="1:1" hidden="1" x14ac:dyDescent="0.25">
      <c r="A568" s="1" t="str">
        <f>IF(List!K568="","",List!K568)</f>
        <v/>
      </c>
    </row>
    <row r="569" spans="1:1" hidden="1" x14ac:dyDescent="0.25">
      <c r="A569" s="1" t="str">
        <f>IF(List!K569="","",List!K569)</f>
        <v/>
      </c>
    </row>
    <row r="570" spans="1:1" hidden="1" x14ac:dyDescent="0.25">
      <c r="A570" s="1" t="str">
        <f>IF(List!K570="","",List!K570)</f>
        <v/>
      </c>
    </row>
    <row r="571" spans="1:1" hidden="1" x14ac:dyDescent="0.25">
      <c r="A571" s="1" t="str">
        <f>IF(List!K571="","",List!K571)</f>
        <v/>
      </c>
    </row>
    <row r="572" spans="1:1" hidden="1" x14ac:dyDescent="0.25">
      <c r="A572" s="1" t="str">
        <f>IF(List!K572="","",List!K572)</f>
        <v/>
      </c>
    </row>
    <row r="573" spans="1:1" hidden="1" x14ac:dyDescent="0.25">
      <c r="A573" s="1" t="str">
        <f>IF(List!K573="","",List!K573)</f>
        <v/>
      </c>
    </row>
    <row r="574" spans="1:1" hidden="1" x14ac:dyDescent="0.25">
      <c r="A574" s="1" t="str">
        <f>IF(List!K574="","",List!K574)</f>
        <v/>
      </c>
    </row>
    <row r="575" spans="1:1" hidden="1" x14ac:dyDescent="0.25">
      <c r="A575" s="1" t="str">
        <f>IF(List!K575="","",List!K575)</f>
        <v/>
      </c>
    </row>
    <row r="576" spans="1:1" hidden="1" x14ac:dyDescent="0.25">
      <c r="A576" s="1" t="str">
        <f>IF(List!K576="","",List!K576)</f>
        <v/>
      </c>
    </row>
    <row r="577" spans="1:1" hidden="1" x14ac:dyDescent="0.25">
      <c r="A577" s="1" t="str">
        <f>IF(List!K577="","",List!K577)</f>
        <v/>
      </c>
    </row>
    <row r="578" spans="1:1" hidden="1" x14ac:dyDescent="0.25">
      <c r="A578" s="1" t="str">
        <f>IF(List!K578="","",List!K578)</f>
        <v/>
      </c>
    </row>
    <row r="579" spans="1:1" hidden="1" x14ac:dyDescent="0.25">
      <c r="A579" s="1" t="str">
        <f>IF(List!K579="","",List!K579)</f>
        <v/>
      </c>
    </row>
    <row r="580" spans="1:1" hidden="1" x14ac:dyDescent="0.25">
      <c r="A580" s="1" t="str">
        <f>IF(List!K580="","",List!K580)</f>
        <v/>
      </c>
    </row>
    <row r="581" spans="1:1" hidden="1" x14ac:dyDescent="0.25">
      <c r="A581" s="1" t="str">
        <f>IF(List!K581="","",List!K581)</f>
        <v/>
      </c>
    </row>
    <row r="582" spans="1:1" hidden="1" x14ac:dyDescent="0.25">
      <c r="A582" s="1" t="str">
        <f>IF(List!K582="","",List!K582)</f>
        <v/>
      </c>
    </row>
    <row r="583" spans="1:1" hidden="1" x14ac:dyDescent="0.25">
      <c r="A583" s="1" t="str">
        <f>IF(List!K583="","",List!K583)</f>
        <v/>
      </c>
    </row>
    <row r="584" spans="1:1" hidden="1" x14ac:dyDescent="0.25">
      <c r="A584" s="1" t="str">
        <f>IF(List!K584="","",List!K584)</f>
        <v/>
      </c>
    </row>
    <row r="585" spans="1:1" hidden="1" x14ac:dyDescent="0.25">
      <c r="A585" s="1" t="str">
        <f>IF(List!K585="","",List!K585)</f>
        <v/>
      </c>
    </row>
    <row r="586" spans="1:1" hidden="1" x14ac:dyDescent="0.25">
      <c r="A586" s="1" t="str">
        <f>IF(List!K586="","",List!K586)</f>
        <v/>
      </c>
    </row>
    <row r="587" spans="1:1" hidden="1" x14ac:dyDescent="0.25">
      <c r="A587" s="1" t="str">
        <f>IF(List!K587="","",List!K587)</f>
        <v/>
      </c>
    </row>
    <row r="588" spans="1:1" x14ac:dyDescent="0.25">
      <c r="A588" s="1" t="str">
        <f>IF(List!K588="","",List!K588)</f>
        <v xml:space="preserve">    X (  QK_RGB_MATRIX_TOGGLE                         , 0x7842,    "RGB"     ) \</v>
      </c>
    </row>
    <row r="589" spans="1:1" x14ac:dyDescent="0.25">
      <c r="A589" s="1" t="str">
        <f>IF(List!K589="","",List!K589)</f>
        <v xml:space="preserve">    X (  QK_RGB_MATRIX_MODE_NEXT                      , 0x7843,    "Eff &gt;"     ) \</v>
      </c>
    </row>
    <row r="590" spans="1:1" x14ac:dyDescent="0.25">
      <c r="A590" s="1" t="str">
        <f>IF(List!K590="","",List!K590)</f>
        <v xml:space="preserve">    X (  QK_RGB_MATRIX_MODE_PREVIOUS                  , 0x7844,    "&lt; Eff"     ) \</v>
      </c>
    </row>
    <row r="591" spans="1:1" x14ac:dyDescent="0.25">
      <c r="A591" s="1" t="str">
        <f>IF(List!K591="","",List!K591)</f>
        <v xml:space="preserve">    X (  QK_RGB_MATRIX_HUE_UP                         , 0x7845,    "C&gt;"     ) \</v>
      </c>
    </row>
    <row r="592" spans="1:1" x14ac:dyDescent="0.25">
      <c r="A592" s="1" t="str">
        <f>IF(List!K592="","",List!K592)</f>
        <v xml:space="preserve">    X (  QK_RGB_MATRIX_HUE_DOWN                       , 0x7846,    "&lt;C"     ) \</v>
      </c>
    </row>
    <row r="593" spans="1:1" hidden="1" x14ac:dyDescent="0.25">
      <c r="A593" s="1" t="str">
        <f>IF(List!K593="","",List!K593)</f>
        <v/>
      </c>
    </row>
    <row r="594" spans="1:1" hidden="1" x14ac:dyDescent="0.25">
      <c r="A594" s="1" t="str">
        <f>IF(List!K594="","",List!K594)</f>
        <v/>
      </c>
    </row>
    <row r="595" spans="1:1" x14ac:dyDescent="0.25">
      <c r="A595" s="1" t="str">
        <f>IF(List!K595="","",List!K595)</f>
        <v xml:space="preserve">    X (  QK_RGB_MATRIX_VALUE_UP                       , 0x7849,    "Br+"     ) \</v>
      </c>
    </row>
    <row r="596" spans="1:1" x14ac:dyDescent="0.25">
      <c r="A596" s="1" t="str">
        <f>IF(List!K596="","",List!K596)</f>
        <v xml:space="preserve">    X (  QK_RGB_MATRIX_VALUE_DOWN                     , 0x784A,    "Br-"     ) \</v>
      </c>
    </row>
    <row r="597" spans="1:1" hidden="1" x14ac:dyDescent="0.25">
      <c r="A597" s="1" t="str">
        <f>IF(List!K597="","",List!K597)</f>
        <v/>
      </c>
    </row>
    <row r="598" spans="1:1" hidden="1" x14ac:dyDescent="0.25">
      <c r="A598" s="1" t="str">
        <f>IF(List!K598="","",List!K598)</f>
        <v/>
      </c>
    </row>
    <row r="599" spans="1:1" hidden="1" x14ac:dyDescent="0.25">
      <c r="A599" s="1" t="str">
        <f>IF(List!K599="","",List!K599)</f>
        <v/>
      </c>
    </row>
    <row r="600" spans="1:1" hidden="1" x14ac:dyDescent="0.25">
      <c r="A600" s="1" t="str">
        <f>IF(List!K600="","",List!K600)</f>
        <v/>
      </c>
    </row>
    <row r="601" spans="1:1" hidden="1" x14ac:dyDescent="0.25">
      <c r="A601" s="1" t="str">
        <f>IF(List!K601="","",List!K601)</f>
        <v/>
      </c>
    </row>
    <row r="602" spans="1:1" hidden="1" x14ac:dyDescent="0.25">
      <c r="A602" s="1" t="str">
        <f>IF(List!K602="","",List!K602)</f>
        <v/>
      </c>
    </row>
    <row r="603" spans="1:1" hidden="1" x14ac:dyDescent="0.25">
      <c r="A603" s="1" t="str">
        <f>IF(List!K603="","",List!K603)</f>
        <v/>
      </c>
    </row>
    <row r="604" spans="1:1" hidden="1" x14ac:dyDescent="0.25">
      <c r="A604" s="1" t="str">
        <f>IF(List!K604="","",List!K604)</f>
        <v/>
      </c>
    </row>
    <row r="605" spans="1:1" hidden="1" x14ac:dyDescent="0.25">
      <c r="A605" s="1" t="str">
        <f>IF(List!K605="","",List!K605)</f>
        <v/>
      </c>
    </row>
    <row r="606" spans="1:1" hidden="1" x14ac:dyDescent="0.25">
      <c r="A606" s="1" t="str">
        <f>IF(List!K606="","",List!K606)</f>
        <v/>
      </c>
    </row>
    <row r="607" spans="1:1" hidden="1" x14ac:dyDescent="0.25">
      <c r="A607" s="1" t="str">
        <f>IF(List!K607="","",List!K607)</f>
        <v/>
      </c>
    </row>
    <row r="608" spans="1:1" hidden="1" x14ac:dyDescent="0.25">
      <c r="A608" s="1" t="str">
        <f>IF(List!K608="","",List!K608)</f>
        <v/>
      </c>
    </row>
    <row r="609" spans="1:1" hidden="1" x14ac:dyDescent="0.25">
      <c r="A609" s="1" t="str">
        <f>IF(List!K609="","",List!K609)</f>
        <v/>
      </c>
    </row>
    <row r="610" spans="1:1" hidden="1" x14ac:dyDescent="0.25">
      <c r="A610" s="1" t="str">
        <f>IF(List!K610="","",List!K610)</f>
        <v/>
      </c>
    </row>
    <row r="611" spans="1:1" hidden="1" x14ac:dyDescent="0.25">
      <c r="A611" s="1" t="str">
        <f>IF(List!K611="","",List!K611)</f>
        <v/>
      </c>
    </row>
    <row r="612" spans="1:1" hidden="1" x14ac:dyDescent="0.25">
      <c r="A612" s="1" t="str">
        <f>IF(List!K612="","",List!K612)</f>
        <v/>
      </c>
    </row>
    <row r="613" spans="1:1" hidden="1" x14ac:dyDescent="0.25">
      <c r="A613" s="1" t="str">
        <f>IF(List!K613="","",List!K613)</f>
        <v/>
      </c>
    </row>
    <row r="614" spans="1:1" hidden="1" x14ac:dyDescent="0.25">
      <c r="A614" s="1" t="str">
        <f>IF(List!K614="","",List!K614)</f>
        <v/>
      </c>
    </row>
    <row r="615" spans="1:1" hidden="1" x14ac:dyDescent="0.25">
      <c r="A615" s="1" t="str">
        <f>IF(List!K615="","",List!K615)</f>
        <v/>
      </c>
    </row>
    <row r="616" spans="1:1" hidden="1" x14ac:dyDescent="0.25">
      <c r="A616" s="1" t="str">
        <f>IF(List!K616="","",List!K616)</f>
        <v/>
      </c>
    </row>
    <row r="617" spans="1:1" hidden="1" x14ac:dyDescent="0.25">
      <c r="A617" s="1" t="str">
        <f>IF(List!K617="","",List!K617)</f>
        <v/>
      </c>
    </row>
    <row r="618" spans="1:1" hidden="1" x14ac:dyDescent="0.25">
      <c r="A618" s="1" t="str">
        <f>IF(List!K618="","",List!K618)</f>
        <v/>
      </c>
    </row>
    <row r="619" spans="1:1" hidden="1" x14ac:dyDescent="0.25">
      <c r="A619" s="1" t="str">
        <f>IF(List!K619="","",List!K619)</f>
        <v/>
      </c>
    </row>
    <row r="620" spans="1:1" hidden="1" x14ac:dyDescent="0.25">
      <c r="A620" s="1" t="str">
        <f>IF(List!K620="","",List!K620)</f>
        <v/>
      </c>
    </row>
    <row r="621" spans="1:1" hidden="1" x14ac:dyDescent="0.25">
      <c r="A621" s="1" t="str">
        <f>IF(List!K621="","",List!K621)</f>
        <v/>
      </c>
    </row>
    <row r="622" spans="1:1" hidden="1" x14ac:dyDescent="0.25">
      <c r="A622" s="1" t="str">
        <f>IF(List!K622="","",List!K622)</f>
        <v/>
      </c>
    </row>
    <row r="623" spans="1:1" hidden="1" x14ac:dyDescent="0.25">
      <c r="A623" s="1" t="str">
        <f>IF(List!K623="","",List!K623)</f>
        <v/>
      </c>
    </row>
    <row r="624" spans="1:1" hidden="1" x14ac:dyDescent="0.25">
      <c r="A624" s="1" t="str">
        <f>IF(List!K624="","",List!K624)</f>
        <v/>
      </c>
    </row>
    <row r="625" spans="1:1" hidden="1" x14ac:dyDescent="0.25">
      <c r="A625" s="1" t="str">
        <f>IF(List!K625="","",List!K625)</f>
        <v/>
      </c>
    </row>
    <row r="626" spans="1:1" hidden="1" x14ac:dyDescent="0.25">
      <c r="A626" s="1" t="str">
        <f>IF(List!K626="","",List!K626)</f>
        <v/>
      </c>
    </row>
    <row r="627" spans="1:1" hidden="1" x14ac:dyDescent="0.25">
      <c r="A627" s="1" t="str">
        <f>IF(List!K627="","",List!K627)</f>
        <v/>
      </c>
    </row>
    <row r="628" spans="1:1" hidden="1" x14ac:dyDescent="0.25">
      <c r="A628" s="1" t="str">
        <f>IF(List!K628="","",List!K628)</f>
        <v/>
      </c>
    </row>
    <row r="629" spans="1:1" hidden="1" x14ac:dyDescent="0.25">
      <c r="A629" s="1" t="str">
        <f>IF(List!K629="","",List!K629)</f>
        <v/>
      </c>
    </row>
    <row r="630" spans="1:1" hidden="1" x14ac:dyDescent="0.25">
      <c r="A630" s="1" t="str">
        <f>IF(List!K630="","",List!K630)</f>
        <v/>
      </c>
    </row>
    <row r="631" spans="1:1" hidden="1" x14ac:dyDescent="0.25">
      <c r="A631" s="1" t="str">
        <f>IF(List!K631="","",List!K631)</f>
        <v/>
      </c>
    </row>
    <row r="632" spans="1:1" hidden="1" x14ac:dyDescent="0.25">
      <c r="A632" s="1" t="str">
        <f>IF(List!K632="","",List!K632)</f>
        <v/>
      </c>
    </row>
    <row r="633" spans="1:1" hidden="1" x14ac:dyDescent="0.25">
      <c r="A633" s="1" t="str">
        <f>IF(List!K633="","",List!K633)</f>
        <v/>
      </c>
    </row>
    <row r="634" spans="1:1" hidden="1" x14ac:dyDescent="0.25">
      <c r="A634" s="1" t="str">
        <f>IF(List!K634="","",List!K634)</f>
        <v/>
      </c>
    </row>
    <row r="635" spans="1:1" hidden="1" x14ac:dyDescent="0.25">
      <c r="A635" s="1" t="str">
        <f>IF(List!K635="","",List!K635)</f>
        <v/>
      </c>
    </row>
    <row r="636" spans="1:1" hidden="1" x14ac:dyDescent="0.25">
      <c r="A636" s="1" t="str">
        <f>IF(List!K636="","",List!K636)</f>
        <v/>
      </c>
    </row>
    <row r="637" spans="1:1" hidden="1" x14ac:dyDescent="0.25">
      <c r="A637" s="1" t="str">
        <f>IF(List!K637="","",List!K637)</f>
        <v/>
      </c>
    </row>
    <row r="638" spans="1:1" hidden="1" x14ac:dyDescent="0.25">
      <c r="A638" s="1" t="str">
        <f>IF(List!K638="","",List!K638)</f>
        <v/>
      </c>
    </row>
    <row r="639" spans="1:1" hidden="1" x14ac:dyDescent="0.25">
      <c r="A639" s="1" t="str">
        <f>IF(List!K639="","",List!K639)</f>
        <v/>
      </c>
    </row>
    <row r="640" spans="1:1" hidden="1" x14ac:dyDescent="0.25">
      <c r="A640" s="1" t="str">
        <f>IF(List!K640="","",List!K640)</f>
        <v/>
      </c>
    </row>
    <row r="641" spans="1:1" hidden="1" x14ac:dyDescent="0.25">
      <c r="A641" s="1" t="str">
        <f>IF(List!K641="","",List!K641)</f>
        <v/>
      </c>
    </row>
    <row r="642" spans="1:1" hidden="1" x14ac:dyDescent="0.25">
      <c r="A642" s="1" t="str">
        <f>IF(List!K642="","",List!K642)</f>
        <v/>
      </c>
    </row>
    <row r="643" spans="1:1" hidden="1" x14ac:dyDescent="0.25">
      <c r="A643" s="1" t="str">
        <f>IF(List!K643="","",List!K643)</f>
        <v/>
      </c>
    </row>
    <row r="644" spans="1:1" hidden="1" x14ac:dyDescent="0.25">
      <c r="A644" s="1" t="str">
        <f>IF(List!K644="","",List!K644)</f>
        <v/>
      </c>
    </row>
    <row r="645" spans="1:1" hidden="1" x14ac:dyDescent="0.25">
      <c r="A645" s="1" t="str">
        <f>IF(List!K645="","",List!K645)</f>
        <v/>
      </c>
    </row>
    <row r="646" spans="1:1" hidden="1" x14ac:dyDescent="0.25">
      <c r="A646" s="1" t="str">
        <f>IF(List!K646="","",List!K646)</f>
        <v/>
      </c>
    </row>
    <row r="647" spans="1:1" hidden="1" x14ac:dyDescent="0.25">
      <c r="A647" s="1" t="str">
        <f>IF(List!K647="","",List!K647)</f>
        <v/>
      </c>
    </row>
    <row r="648" spans="1:1" hidden="1" x14ac:dyDescent="0.25">
      <c r="A648" s="1" t="str">
        <f>IF(List!K648="","",List!K648)</f>
        <v/>
      </c>
    </row>
    <row r="649" spans="1:1" hidden="1" x14ac:dyDescent="0.25">
      <c r="A649" s="1" t="str">
        <f>IF(List!K649="","",List!K649)</f>
        <v/>
      </c>
    </row>
    <row r="650" spans="1:1" hidden="1" x14ac:dyDescent="0.25">
      <c r="A650" s="1" t="str">
        <f>IF(List!K650="","",List!K650)</f>
        <v/>
      </c>
    </row>
    <row r="651" spans="1:1" hidden="1" x14ac:dyDescent="0.25">
      <c r="A651" s="1" t="str">
        <f>IF(List!K651="","",List!K651)</f>
        <v/>
      </c>
    </row>
    <row r="652" spans="1:1" hidden="1" x14ac:dyDescent="0.25">
      <c r="A652" s="1" t="str">
        <f>IF(List!K652="","",List!K652)</f>
        <v/>
      </c>
    </row>
    <row r="653" spans="1:1" hidden="1" x14ac:dyDescent="0.25">
      <c r="A653" s="1" t="str">
        <f>IF(List!K653="","",List!K653)</f>
        <v/>
      </c>
    </row>
    <row r="654" spans="1:1" hidden="1" x14ac:dyDescent="0.25">
      <c r="A654" s="1" t="str">
        <f>IF(List!K654="","",List!K654)</f>
        <v/>
      </c>
    </row>
    <row r="655" spans="1:1" hidden="1" x14ac:dyDescent="0.25">
      <c r="A655" s="1" t="str">
        <f>IF(List!K655="","",List!K655)</f>
        <v/>
      </c>
    </row>
    <row r="656" spans="1:1" hidden="1" x14ac:dyDescent="0.25">
      <c r="A656" s="1" t="str">
        <f>IF(List!K656="","",List!K656)</f>
        <v/>
      </c>
    </row>
    <row r="657" spans="1:1" hidden="1" x14ac:dyDescent="0.25">
      <c r="A657" s="1" t="str">
        <f>IF(List!K657="","",List!K657)</f>
        <v/>
      </c>
    </row>
    <row r="658" spans="1:1" hidden="1" x14ac:dyDescent="0.25">
      <c r="A658" s="1" t="str">
        <f>IF(List!K658="","",List!K658)</f>
        <v/>
      </c>
    </row>
    <row r="659" spans="1:1" hidden="1" x14ac:dyDescent="0.25">
      <c r="A659" s="1" t="str">
        <f>IF(List!K659="","",List!K659)</f>
        <v/>
      </c>
    </row>
    <row r="660" spans="1:1" hidden="1" x14ac:dyDescent="0.25">
      <c r="A660" s="1" t="str">
        <f>IF(List!K660="","",List!K660)</f>
        <v/>
      </c>
    </row>
    <row r="661" spans="1:1" hidden="1" x14ac:dyDescent="0.25">
      <c r="A661" s="1" t="str">
        <f>IF(List!K661="","",List!K661)</f>
        <v/>
      </c>
    </row>
    <row r="662" spans="1:1" hidden="1" x14ac:dyDescent="0.25">
      <c r="A662" s="1" t="str">
        <f>IF(List!K662="","",List!K662)</f>
        <v/>
      </c>
    </row>
    <row r="663" spans="1:1" hidden="1" x14ac:dyDescent="0.25">
      <c r="A663" s="1" t="str">
        <f>IF(List!K663="","",List!K663)</f>
        <v/>
      </c>
    </row>
    <row r="664" spans="1:1" hidden="1" x14ac:dyDescent="0.25">
      <c r="A664" s="1" t="str">
        <f>IF(List!K664="","",List!K664)</f>
        <v/>
      </c>
    </row>
    <row r="665" spans="1:1" hidden="1" x14ac:dyDescent="0.25">
      <c r="A665" s="1" t="str">
        <f>IF(List!K665="","",List!K665)</f>
        <v/>
      </c>
    </row>
    <row r="666" spans="1:1" hidden="1" x14ac:dyDescent="0.25">
      <c r="A666" s="1" t="str">
        <f>IF(List!K666="","",List!K666)</f>
        <v/>
      </c>
    </row>
    <row r="667" spans="1:1" hidden="1" x14ac:dyDescent="0.25">
      <c r="A667" s="1" t="str">
        <f>IF(List!K667="","",List!K667)</f>
        <v/>
      </c>
    </row>
    <row r="668" spans="1:1" hidden="1" x14ac:dyDescent="0.25">
      <c r="A668" s="1" t="str">
        <f>IF(List!K668="","",List!K668)</f>
        <v/>
      </c>
    </row>
    <row r="669" spans="1:1" hidden="1" x14ac:dyDescent="0.25">
      <c r="A669" s="1" t="str">
        <f>IF(List!K669="","",List!K669)</f>
        <v/>
      </c>
    </row>
    <row r="670" spans="1:1" hidden="1" x14ac:dyDescent="0.25">
      <c r="A670" s="1" t="str">
        <f>IF(List!K670="","",List!K670)</f>
        <v/>
      </c>
    </row>
    <row r="671" spans="1:1" hidden="1" x14ac:dyDescent="0.25">
      <c r="A671" s="1" t="str">
        <f>IF(List!K671="","",List!K671)</f>
        <v/>
      </c>
    </row>
    <row r="672" spans="1:1" hidden="1" x14ac:dyDescent="0.25">
      <c r="A672" s="1" t="str">
        <f>IF(List!K672="","",List!K672)</f>
        <v/>
      </c>
    </row>
    <row r="673" spans="1:1" hidden="1" x14ac:dyDescent="0.25">
      <c r="A673" s="1" t="str">
        <f>IF(List!K673="","",List!K673)</f>
        <v/>
      </c>
    </row>
    <row r="674" spans="1:1" hidden="1" x14ac:dyDescent="0.25">
      <c r="A674" s="1" t="str">
        <f>IF(List!K674="","",List!K674)</f>
        <v/>
      </c>
    </row>
    <row r="675" spans="1:1" hidden="1" x14ac:dyDescent="0.25">
      <c r="A675" s="1" t="str">
        <f>IF(List!K675="","",List!K675)</f>
        <v/>
      </c>
    </row>
    <row r="676" spans="1:1" hidden="1" x14ac:dyDescent="0.25">
      <c r="A676" s="1" t="str">
        <f>IF(List!K676="","",List!K676)</f>
        <v/>
      </c>
    </row>
    <row r="677" spans="1:1" hidden="1" x14ac:dyDescent="0.25">
      <c r="A677" s="1" t="str">
        <f>IF(List!K677="","",List!K677)</f>
        <v/>
      </c>
    </row>
    <row r="678" spans="1:1" hidden="1" x14ac:dyDescent="0.25">
      <c r="A678" s="1" t="str">
        <f>IF(List!K678="","",List!K678)</f>
        <v/>
      </c>
    </row>
    <row r="679" spans="1:1" hidden="1" x14ac:dyDescent="0.25">
      <c r="A679" s="1" t="str">
        <f>IF(List!K679="","",List!K679)</f>
        <v/>
      </c>
    </row>
    <row r="680" spans="1:1" hidden="1" x14ac:dyDescent="0.25">
      <c r="A680" s="1" t="str">
        <f>IF(List!K680="","",List!K680)</f>
        <v/>
      </c>
    </row>
    <row r="681" spans="1:1" hidden="1" x14ac:dyDescent="0.25">
      <c r="A681" s="1" t="str">
        <f>IF(List!K681="","",List!K681)</f>
        <v/>
      </c>
    </row>
    <row r="682" spans="1:1" hidden="1" x14ac:dyDescent="0.25">
      <c r="A682" s="1" t="str">
        <f>IF(List!K682="","",List!K682)</f>
        <v/>
      </c>
    </row>
    <row r="683" spans="1:1" hidden="1" x14ac:dyDescent="0.25">
      <c r="A683" s="1" t="str">
        <f>IF(List!K683="","",List!K683)</f>
        <v/>
      </c>
    </row>
    <row r="684" spans="1:1" hidden="1" x14ac:dyDescent="0.25">
      <c r="A684" s="1" t="str">
        <f>IF(List!K684="","",List!K684)</f>
        <v/>
      </c>
    </row>
    <row r="685" spans="1:1" hidden="1" x14ac:dyDescent="0.25">
      <c r="A685" s="1" t="str">
        <f>IF(List!K685="","",List!K685)</f>
        <v/>
      </c>
    </row>
    <row r="686" spans="1:1" hidden="1" x14ac:dyDescent="0.25">
      <c r="A686" s="1" t="str">
        <f>IF(List!K686="","",List!K686)</f>
        <v/>
      </c>
    </row>
    <row r="687" spans="1:1" hidden="1" x14ac:dyDescent="0.25">
      <c r="A687" s="1" t="str">
        <f>IF(List!K687="","",List!K687)</f>
        <v/>
      </c>
    </row>
    <row r="688" spans="1:1" hidden="1" x14ac:dyDescent="0.25">
      <c r="A688" s="1" t="str">
        <f>IF(List!K688="","",List!K688)</f>
        <v/>
      </c>
    </row>
    <row r="689" spans="1:1" hidden="1" x14ac:dyDescent="0.25">
      <c r="A689" s="1" t="str">
        <f>IF(List!K689="","",List!K689)</f>
        <v/>
      </c>
    </row>
    <row r="690" spans="1:1" hidden="1" x14ac:dyDescent="0.25">
      <c r="A690" s="1" t="str">
        <f>IF(List!K690="","",List!K690)</f>
        <v/>
      </c>
    </row>
    <row r="691" spans="1:1" hidden="1" x14ac:dyDescent="0.25">
      <c r="A691" s="1" t="str">
        <f>IF(List!K691="","",List!K691)</f>
        <v/>
      </c>
    </row>
    <row r="692" spans="1:1" hidden="1" x14ac:dyDescent="0.25">
      <c r="A692" s="1" t="str">
        <f>IF(List!K692="","",List!K692)</f>
        <v/>
      </c>
    </row>
    <row r="693" spans="1:1" hidden="1" x14ac:dyDescent="0.25">
      <c r="A693" s="1" t="str">
        <f>IF(List!K693="","",List!K693)</f>
        <v/>
      </c>
    </row>
    <row r="694" spans="1:1" hidden="1" x14ac:dyDescent="0.25">
      <c r="A694" s="1" t="str">
        <f>IF(List!K694="","",List!K694)</f>
        <v/>
      </c>
    </row>
    <row r="695" spans="1:1" hidden="1" x14ac:dyDescent="0.25">
      <c r="A695" s="1" t="str">
        <f>IF(List!K695="","",List!K695)</f>
        <v/>
      </c>
    </row>
    <row r="696" spans="1:1" hidden="1" x14ac:dyDescent="0.25">
      <c r="A696" s="1" t="str">
        <f>IF(List!K696="","",List!K696)</f>
        <v/>
      </c>
    </row>
    <row r="697" spans="1:1" hidden="1" x14ac:dyDescent="0.25">
      <c r="A697" s="1" t="str">
        <f>IF(List!K697="","",List!K697)</f>
        <v/>
      </c>
    </row>
    <row r="698" spans="1:1" hidden="1" x14ac:dyDescent="0.25">
      <c r="A698" s="1" t="str">
        <f>IF(List!K698="","",List!K698)</f>
        <v/>
      </c>
    </row>
    <row r="699" spans="1:1" hidden="1" x14ac:dyDescent="0.25">
      <c r="A699" s="1" t="str">
        <f>IF(List!K699="","",List!K699)</f>
        <v/>
      </c>
    </row>
    <row r="700" spans="1:1" hidden="1" x14ac:dyDescent="0.25">
      <c r="A700" s="1" t="str">
        <f>IF(List!K700="","",List!K700)</f>
        <v/>
      </c>
    </row>
    <row r="701" spans="1:1" hidden="1" x14ac:dyDescent="0.25">
      <c r="A701" s="1" t="str">
        <f>IF(List!K701="","",List!K701)</f>
        <v/>
      </c>
    </row>
    <row r="702" spans="1:1" hidden="1" x14ac:dyDescent="0.25">
      <c r="A702" s="1" t="str">
        <f>IF(List!K702="","",List!K702)</f>
        <v/>
      </c>
    </row>
    <row r="703" spans="1:1" hidden="1" x14ac:dyDescent="0.25">
      <c r="A703" s="1" t="str">
        <f>IF(List!K703="","",List!K703)</f>
        <v/>
      </c>
    </row>
    <row r="704" spans="1:1" hidden="1" x14ac:dyDescent="0.25">
      <c r="A704" s="1" t="str">
        <f>IF(List!K704="","",List!K704)</f>
        <v/>
      </c>
    </row>
    <row r="705" spans="1:1" hidden="1" x14ac:dyDescent="0.25">
      <c r="A705" s="1" t="str">
        <f>IF(List!K705="","",List!K705)</f>
        <v/>
      </c>
    </row>
    <row r="706" spans="1:1" x14ac:dyDescent="0.25">
      <c r="A706" s="1" t="str">
        <f>IF(List!K706="","",List!K706)</f>
        <v xml:space="preserve">    X (  QK_USER_0                                    , 0x7E40,    "#"     ) \</v>
      </c>
    </row>
    <row r="707" spans="1:1" x14ac:dyDescent="0.25">
      <c r="A707" s="1" t="str">
        <f>IF(List!K707="","",List!K707)</f>
        <v xml:space="preserve">    X (  QK_USER_1                                    , 0x7E41,    "="     ) \</v>
      </c>
    </row>
    <row r="708" spans="1:1" hidden="1" x14ac:dyDescent="0.25">
      <c r="A708" s="1" t="str">
        <f>IF(List!K708="","",List!K708)</f>
        <v/>
      </c>
    </row>
    <row r="709" spans="1:1" hidden="1" x14ac:dyDescent="0.25">
      <c r="A709" s="1" t="str">
        <f>IF(List!K709="","",List!K709)</f>
        <v/>
      </c>
    </row>
    <row r="710" spans="1:1" hidden="1" x14ac:dyDescent="0.25">
      <c r="A710" s="1" t="str">
        <f>IF(List!K710="","",List!K710)</f>
        <v/>
      </c>
    </row>
    <row r="711" spans="1:1" hidden="1" x14ac:dyDescent="0.25">
      <c r="A711" s="1" t="str">
        <f>IF(List!K711="","",List!K711)</f>
        <v/>
      </c>
    </row>
    <row r="712" spans="1:1" hidden="1" x14ac:dyDescent="0.25">
      <c r="A712" s="1" t="str">
        <f>IF(List!K712="","",List!K712)</f>
        <v/>
      </c>
    </row>
    <row r="713" spans="1:1" hidden="1" x14ac:dyDescent="0.25">
      <c r="A713" s="1" t="str">
        <f>IF(List!K713="","",List!K713)</f>
        <v/>
      </c>
    </row>
    <row r="714" spans="1:1" hidden="1" x14ac:dyDescent="0.25">
      <c r="A714" s="1" t="str">
        <f>IF(List!K714="","",List!K714)</f>
        <v/>
      </c>
    </row>
    <row r="715" spans="1:1" hidden="1" x14ac:dyDescent="0.25">
      <c r="A715" s="1" t="str">
        <f>IF(List!K715="","",List!K715)</f>
        <v/>
      </c>
    </row>
    <row r="716" spans="1:1" hidden="1" x14ac:dyDescent="0.25">
      <c r="A716" s="1" t="str">
        <f>IF(List!K716="","",List!K716)</f>
        <v/>
      </c>
    </row>
    <row r="717" spans="1:1" hidden="1" x14ac:dyDescent="0.25">
      <c r="A717" s="1" t="str">
        <f>IF(List!K717="","",List!K717)</f>
        <v/>
      </c>
    </row>
    <row r="718" spans="1:1" hidden="1" x14ac:dyDescent="0.25">
      <c r="A718" s="1" t="str">
        <f>IF(List!K718="","",List!K718)</f>
        <v/>
      </c>
    </row>
    <row r="719" spans="1:1" hidden="1" x14ac:dyDescent="0.25">
      <c r="A719" s="1" t="str">
        <f>IF(List!K719="","",List!K719)</f>
        <v/>
      </c>
    </row>
    <row r="720" spans="1:1" hidden="1" x14ac:dyDescent="0.25">
      <c r="A720" s="1" t="str">
        <f>IF(List!K720="","",List!K720)</f>
        <v/>
      </c>
    </row>
    <row r="721" spans="1:1" hidden="1" x14ac:dyDescent="0.25">
      <c r="A721" s="1" t="str">
        <f>IF(List!K721="","",List!K721)</f>
        <v/>
      </c>
    </row>
    <row r="722" spans="1:1" hidden="1" x14ac:dyDescent="0.25">
      <c r="A722" s="1" t="str">
        <f>IF(List!K722="","",List!K722)</f>
        <v/>
      </c>
    </row>
    <row r="723" spans="1:1" hidden="1" x14ac:dyDescent="0.25">
      <c r="A723" s="1" t="str">
        <f>IF(List!K723="","",List!K723)</f>
        <v/>
      </c>
    </row>
    <row r="724" spans="1:1" hidden="1" x14ac:dyDescent="0.25">
      <c r="A724" s="1" t="str">
        <f>IF(List!K724="","",List!K724)</f>
        <v/>
      </c>
    </row>
    <row r="725" spans="1:1" hidden="1" x14ac:dyDescent="0.25">
      <c r="A725" s="1" t="str">
        <f>IF(List!K725="","",List!K725)</f>
        <v/>
      </c>
    </row>
    <row r="726" spans="1:1" hidden="1" x14ac:dyDescent="0.25">
      <c r="A726" s="1" t="str">
        <f>IF(List!K726="","",List!K726)</f>
        <v/>
      </c>
    </row>
    <row r="727" spans="1:1" hidden="1" x14ac:dyDescent="0.25">
      <c r="A727" s="1" t="str">
        <f>IF(List!K727="","",List!K727)</f>
        <v/>
      </c>
    </row>
    <row r="728" spans="1:1" hidden="1" x14ac:dyDescent="0.25">
      <c r="A728" s="1" t="str">
        <f>IF(List!K728="","",List!K728)</f>
        <v/>
      </c>
    </row>
    <row r="729" spans="1:1" hidden="1" x14ac:dyDescent="0.25">
      <c r="A729" s="1" t="str">
        <f>IF(List!K729="","",List!K729)</f>
        <v/>
      </c>
    </row>
    <row r="730" spans="1:1" hidden="1" x14ac:dyDescent="0.25">
      <c r="A730" s="1" t="str">
        <f>IF(List!K730="","",List!K730)</f>
        <v/>
      </c>
    </row>
    <row r="731" spans="1:1" hidden="1" x14ac:dyDescent="0.25">
      <c r="A731" s="1" t="str">
        <f>IF(List!K731="","",List!K731)</f>
        <v/>
      </c>
    </row>
    <row r="732" spans="1:1" hidden="1" x14ac:dyDescent="0.25">
      <c r="A732" s="1" t="str">
        <f>IF(List!K732="","",List!K732)</f>
        <v/>
      </c>
    </row>
    <row r="733" spans="1:1" hidden="1" x14ac:dyDescent="0.25">
      <c r="A733" s="1" t="str">
        <f>IF(List!K733="","",List!K733)</f>
        <v/>
      </c>
    </row>
    <row r="734" spans="1:1" hidden="1" x14ac:dyDescent="0.25">
      <c r="A734" s="1" t="str">
        <f>IF(List!K734="","",List!K734)</f>
        <v/>
      </c>
    </row>
    <row r="735" spans="1:1" hidden="1" x14ac:dyDescent="0.25">
      <c r="A735" s="1" t="str">
        <f>IF(List!K735="","",List!K735)</f>
        <v/>
      </c>
    </row>
    <row r="736" spans="1:1" hidden="1" x14ac:dyDescent="0.25">
      <c r="A736" s="1" t="str">
        <f>IF(List!K736="","",List!K736)</f>
        <v/>
      </c>
    </row>
    <row r="737" spans="1:1" hidden="1" x14ac:dyDescent="0.25">
      <c r="A737" s="1" t="str">
        <f>IF(List!K737="","",List!K737)</f>
        <v/>
      </c>
    </row>
    <row r="738" spans="1:1" hidden="1" x14ac:dyDescent="0.25">
      <c r="A738" s="1" t="str">
        <f>IF(List!K738="","",List!K738)</f>
        <v/>
      </c>
    </row>
    <row r="739" spans="1:1" hidden="1" x14ac:dyDescent="0.25">
      <c r="A739" s="1" t="str">
        <f>IF(List!K739="","",List!K739)</f>
        <v/>
      </c>
    </row>
    <row r="740" spans="1:1" hidden="1" x14ac:dyDescent="0.25">
      <c r="A740" s="1" t="str">
        <f>IF(List!K740="","",List!K740)</f>
        <v/>
      </c>
    </row>
    <row r="741" spans="1:1" hidden="1" x14ac:dyDescent="0.25">
      <c r="A741" s="1" t="str">
        <f>IF(List!K741="","",List!K741)</f>
        <v/>
      </c>
    </row>
    <row r="742" spans="1:1" hidden="1" x14ac:dyDescent="0.25">
      <c r="A742" s="1" t="str">
        <f>IF(List!K742="","",List!K742)</f>
        <v/>
      </c>
    </row>
    <row r="743" spans="1:1" hidden="1" x14ac:dyDescent="0.25">
      <c r="A743" s="1" t="str">
        <f>IF(List!K743="","",List!K743)</f>
        <v/>
      </c>
    </row>
    <row r="744" spans="1:1" hidden="1" x14ac:dyDescent="0.25">
      <c r="A744" s="1" t="str">
        <f>IF(List!K744="","",List!K744)</f>
        <v/>
      </c>
    </row>
    <row r="745" spans="1:1" hidden="1" x14ac:dyDescent="0.25">
      <c r="A745" s="1" t="str">
        <f>IF(List!K745="","",List!K745)</f>
        <v/>
      </c>
    </row>
    <row r="746" spans="1:1" hidden="1" x14ac:dyDescent="0.25">
      <c r="A746" s="1" t="str">
        <f>IF(List!K746="","",List!K746)</f>
        <v/>
      </c>
    </row>
    <row r="747" spans="1:1" hidden="1" x14ac:dyDescent="0.25">
      <c r="A747" s="1" t="str">
        <f>IF(List!K747="","",List!K747)</f>
        <v/>
      </c>
    </row>
    <row r="748" spans="1:1" hidden="1" x14ac:dyDescent="0.25">
      <c r="A748" s="1" t="str">
        <f>IF(List!K748="","",List!K748)</f>
        <v/>
      </c>
    </row>
    <row r="749" spans="1:1" hidden="1" x14ac:dyDescent="0.25">
      <c r="A749" s="1" t="str">
        <f>IF(List!K749="","",List!K749)</f>
        <v/>
      </c>
    </row>
    <row r="750" spans="1:1" hidden="1" x14ac:dyDescent="0.25">
      <c r="A750" s="1" t="str">
        <f>IF(List!K750="","",List!K750)</f>
        <v/>
      </c>
    </row>
    <row r="751" spans="1:1" hidden="1" x14ac:dyDescent="0.25">
      <c r="A751" s="1" t="str">
        <f>IF(List!K751="","",List!K751)</f>
        <v/>
      </c>
    </row>
    <row r="752" spans="1:1" hidden="1" x14ac:dyDescent="0.25">
      <c r="A752" s="1" t="str">
        <f>IF(List!K752="","",List!K752)</f>
        <v/>
      </c>
    </row>
    <row r="753" spans="1:1" hidden="1" x14ac:dyDescent="0.25">
      <c r="A753" s="1" t="str">
        <f>IF(List!K753="","",List!K753)</f>
        <v/>
      </c>
    </row>
    <row r="754" spans="1:1" hidden="1" x14ac:dyDescent="0.25">
      <c r="A754" s="1" t="str">
        <f>IF(List!K754="","",List!K754)</f>
        <v/>
      </c>
    </row>
    <row r="755" spans="1:1" hidden="1" x14ac:dyDescent="0.25">
      <c r="A755" s="1" t="str">
        <f>IF(List!K755="","",List!K755)</f>
        <v/>
      </c>
    </row>
    <row r="756" spans="1:1" hidden="1" x14ac:dyDescent="0.25">
      <c r="A756" s="1" t="str">
        <f>IF(List!K756="","",List!K756)</f>
        <v/>
      </c>
    </row>
    <row r="757" spans="1:1" hidden="1" x14ac:dyDescent="0.25">
      <c r="A757" s="1" t="str">
        <f>IF(List!K757="","",List!K757)</f>
        <v/>
      </c>
    </row>
    <row r="758" spans="1:1" hidden="1" x14ac:dyDescent="0.25">
      <c r="A758" s="1" t="str">
        <f>IF(List!K758="","",List!K758)</f>
        <v/>
      </c>
    </row>
    <row r="759" spans="1:1" hidden="1" x14ac:dyDescent="0.25">
      <c r="A759" s="1" t="str">
        <f>IF(List!K759="","",List!K759)</f>
        <v/>
      </c>
    </row>
    <row r="760" spans="1:1" hidden="1" x14ac:dyDescent="0.25">
      <c r="A760" s="1" t="str">
        <f>IF(List!K760="","",List!K760)</f>
        <v/>
      </c>
    </row>
    <row r="761" spans="1:1" hidden="1" x14ac:dyDescent="0.25">
      <c r="A761" s="1" t="str">
        <f>IF(List!K761="","",List!K761)</f>
        <v/>
      </c>
    </row>
    <row r="762" spans="1:1" hidden="1" x14ac:dyDescent="0.25">
      <c r="A762" s="1" t="str">
        <f>IF(List!K762="","",List!K762)</f>
        <v/>
      </c>
    </row>
    <row r="763" spans="1:1" hidden="1" x14ac:dyDescent="0.25">
      <c r="A763" s="1" t="str">
        <f>IF(List!K763="","",List!K763)</f>
        <v/>
      </c>
    </row>
    <row r="764" spans="1:1" hidden="1" x14ac:dyDescent="0.25">
      <c r="A764" s="1" t="str">
        <f>IF(List!K764="","",List!K764)</f>
        <v/>
      </c>
    </row>
    <row r="765" spans="1:1" hidden="1" x14ac:dyDescent="0.25">
      <c r="A765" s="1" t="str">
        <f>IF(List!K765="","",List!K765)</f>
        <v/>
      </c>
    </row>
    <row r="766" spans="1:1" hidden="1" x14ac:dyDescent="0.25">
      <c r="A766" s="1" t="str">
        <f>IF(List!K766="","",List!K766)</f>
        <v/>
      </c>
    </row>
    <row r="767" spans="1:1" hidden="1" x14ac:dyDescent="0.25">
      <c r="A767" s="1" t="str">
        <f>IF(List!K767="","",List!K767)</f>
        <v/>
      </c>
    </row>
    <row r="768" spans="1:1" hidden="1" x14ac:dyDescent="0.25">
      <c r="A768" s="1" t="str">
        <f>IF(List!K768="","",List!K768)</f>
        <v/>
      </c>
    </row>
    <row r="769" spans="1:1" hidden="1" x14ac:dyDescent="0.25">
      <c r="A769" s="1" t="str">
        <f>IF(List!K769="","",List!K769)</f>
        <v/>
      </c>
    </row>
    <row r="770" spans="1:1" hidden="1" x14ac:dyDescent="0.25">
      <c r="A770" s="1" t="str">
        <f>IF(List!K770="","",List!K770)</f>
        <v/>
      </c>
    </row>
    <row r="771" spans="1:1" hidden="1" x14ac:dyDescent="0.25">
      <c r="A771" s="1" t="str">
        <f>IF(List!K771="","",List!K771)</f>
        <v/>
      </c>
    </row>
    <row r="772" spans="1:1" hidden="1" x14ac:dyDescent="0.25">
      <c r="A772" s="1" t="str">
        <f>IF(List!K772="","",List!K772)</f>
        <v/>
      </c>
    </row>
    <row r="773" spans="1:1" hidden="1" x14ac:dyDescent="0.25">
      <c r="A773" s="1" t="str">
        <f>IF(List!K773="","",List!K773)</f>
        <v/>
      </c>
    </row>
    <row r="774" spans="1:1" hidden="1" x14ac:dyDescent="0.25">
      <c r="A774" s="1" t="str">
        <f>IF(List!K774="","",List!K774)</f>
        <v/>
      </c>
    </row>
    <row r="775" spans="1:1" hidden="1" x14ac:dyDescent="0.25">
      <c r="A775" s="1" t="str">
        <f>IF(List!K775="","",List!K775)</f>
        <v/>
      </c>
    </row>
    <row r="776" spans="1:1" hidden="1" x14ac:dyDescent="0.25">
      <c r="A776" s="1" t="str">
        <f>IF(List!K776="","",List!K776)</f>
        <v/>
      </c>
    </row>
    <row r="777" spans="1:1" hidden="1" x14ac:dyDescent="0.25">
      <c r="A777" s="1" t="str">
        <f>IF(List!K777="","",List!K777)</f>
        <v/>
      </c>
    </row>
    <row r="778" spans="1:1" hidden="1" x14ac:dyDescent="0.25">
      <c r="A778" s="1" t="str">
        <f>IF(List!K778="","",List!K778)</f>
        <v/>
      </c>
    </row>
    <row r="779" spans="1:1" hidden="1" x14ac:dyDescent="0.25">
      <c r="A779" s="1" t="str">
        <f>IF(List!K779="","",List!K779)</f>
        <v/>
      </c>
    </row>
    <row r="780" spans="1:1" hidden="1" x14ac:dyDescent="0.25">
      <c r="A780" s="1" t="str">
        <f>IF(List!K780="","",List!K780)</f>
        <v/>
      </c>
    </row>
    <row r="781" spans="1:1" hidden="1" x14ac:dyDescent="0.25">
      <c r="A781" s="1" t="str">
        <f>IF(List!K781="","",List!K781)</f>
        <v/>
      </c>
    </row>
    <row r="782" spans="1:1" hidden="1" x14ac:dyDescent="0.25">
      <c r="A782" s="1" t="str">
        <f>IF(List!K782="","",List!K782)</f>
        <v/>
      </c>
    </row>
    <row r="783" spans="1:1" hidden="1" x14ac:dyDescent="0.25">
      <c r="A783" s="1" t="str">
        <f>IF(List!K783="","",List!K783)</f>
        <v/>
      </c>
    </row>
    <row r="784" spans="1:1" hidden="1" x14ac:dyDescent="0.25">
      <c r="A784" s="1" t="str">
        <f>IF(List!K784="","",List!K784)</f>
        <v/>
      </c>
    </row>
    <row r="785" spans="1:1" hidden="1" x14ac:dyDescent="0.25">
      <c r="A785" s="1" t="str">
        <f>IF(List!K785="","",List!K785)</f>
        <v/>
      </c>
    </row>
    <row r="786" spans="1:1" hidden="1" x14ac:dyDescent="0.25">
      <c r="A786" s="1" t="str">
        <f>IF(List!K786="","",List!K786)</f>
        <v/>
      </c>
    </row>
    <row r="787" spans="1:1" hidden="1" x14ac:dyDescent="0.25">
      <c r="A787" s="1" t="str">
        <f>IF(List!K787="","",List!K787)</f>
        <v/>
      </c>
    </row>
    <row r="788" spans="1:1" hidden="1" x14ac:dyDescent="0.25">
      <c r="A788" s="1" t="str">
        <f>IF(List!K788="","",List!K788)</f>
        <v/>
      </c>
    </row>
    <row r="789" spans="1:1" hidden="1" x14ac:dyDescent="0.25">
      <c r="A789" s="1" t="str">
        <f>IF(List!K789="","",List!K789)</f>
        <v/>
      </c>
    </row>
    <row r="790" spans="1:1" hidden="1" x14ac:dyDescent="0.25">
      <c r="A790" s="1" t="str">
        <f>IF(List!K790="","",List!K790)</f>
        <v/>
      </c>
    </row>
    <row r="791" spans="1:1" hidden="1" x14ac:dyDescent="0.25">
      <c r="A791" s="1" t="str">
        <f>IF(List!K791="","",List!K791)</f>
        <v/>
      </c>
    </row>
    <row r="792" spans="1:1" hidden="1" x14ac:dyDescent="0.25">
      <c r="A792" s="1" t="str">
        <f>IF(List!K792="","",List!K792)</f>
        <v/>
      </c>
    </row>
    <row r="793" spans="1:1" hidden="1" x14ac:dyDescent="0.25">
      <c r="A793" s="1" t="str">
        <f>IF(List!K793="","",List!K793)</f>
        <v/>
      </c>
    </row>
    <row r="794" spans="1:1" hidden="1" x14ac:dyDescent="0.25">
      <c r="A794" s="1" t="str">
        <f>IF(List!K794="","",List!K794)</f>
        <v/>
      </c>
    </row>
    <row r="795" spans="1:1" hidden="1" x14ac:dyDescent="0.25">
      <c r="A795" s="1" t="str">
        <f>IF(List!K795="","",List!K795)</f>
        <v/>
      </c>
    </row>
    <row r="796" spans="1:1" hidden="1" x14ac:dyDescent="0.25">
      <c r="A796" s="1" t="str">
        <f>IF(List!K796="","",List!K796)</f>
        <v/>
      </c>
    </row>
    <row r="797" spans="1:1" hidden="1" x14ac:dyDescent="0.25">
      <c r="A797" s="1" t="str">
        <f>IF(List!K797="","",List!K797)</f>
        <v/>
      </c>
    </row>
    <row r="798" spans="1:1" hidden="1" x14ac:dyDescent="0.25">
      <c r="A798" s="1" t="str">
        <f>IF(List!K798="","",List!K798)</f>
        <v/>
      </c>
    </row>
    <row r="799" spans="1:1" hidden="1" x14ac:dyDescent="0.25">
      <c r="A799" s="1" t="str">
        <f>IF(List!K799="","",List!K799)</f>
        <v/>
      </c>
    </row>
    <row r="800" spans="1:1" hidden="1" x14ac:dyDescent="0.25">
      <c r="A800" s="1" t="str">
        <f>IF(List!K800="","",List!K800)</f>
        <v/>
      </c>
    </row>
    <row r="801" spans="1:1" hidden="1" x14ac:dyDescent="0.25">
      <c r="A801" s="1" t="str">
        <f>IF(List!K801="","",List!K801)</f>
        <v/>
      </c>
    </row>
    <row r="802" spans="1:1" hidden="1" x14ac:dyDescent="0.25">
      <c r="A802" s="1" t="str">
        <f>IF(List!K802="","",List!K802)</f>
        <v/>
      </c>
    </row>
    <row r="803" spans="1:1" hidden="1" x14ac:dyDescent="0.25">
      <c r="A803" s="1" t="str">
        <f>IF(List!K803="","",List!K803)</f>
        <v/>
      </c>
    </row>
    <row r="804" spans="1:1" hidden="1" x14ac:dyDescent="0.25">
      <c r="A804" s="1" t="str">
        <f>IF(List!K804="","",List!K804)</f>
        <v/>
      </c>
    </row>
    <row r="805" spans="1:1" hidden="1" x14ac:dyDescent="0.25">
      <c r="A805" s="1" t="str">
        <f>IF(List!K805="","",List!K805)</f>
        <v/>
      </c>
    </row>
    <row r="806" spans="1:1" hidden="1" x14ac:dyDescent="0.25">
      <c r="A806" s="1" t="str">
        <f>IF(List!K806="","",List!K806)</f>
        <v/>
      </c>
    </row>
    <row r="807" spans="1:1" hidden="1" x14ac:dyDescent="0.25">
      <c r="A807" s="1" t="str">
        <f>IF(List!K807="","",List!K807)</f>
        <v/>
      </c>
    </row>
    <row r="808" spans="1:1" hidden="1" x14ac:dyDescent="0.25">
      <c r="A808" s="1" t="str">
        <f>IF(List!K808="","",List!K808)</f>
        <v/>
      </c>
    </row>
    <row r="809" spans="1:1" hidden="1" x14ac:dyDescent="0.25">
      <c r="A809" s="1" t="str">
        <f>IF(List!K809="","",List!K809)</f>
        <v/>
      </c>
    </row>
    <row r="810" spans="1:1" hidden="1" x14ac:dyDescent="0.25">
      <c r="A810" s="1" t="str">
        <f>IF(List!K810="","",List!K810)</f>
        <v/>
      </c>
    </row>
    <row r="811" spans="1:1" hidden="1" x14ac:dyDescent="0.25">
      <c r="A811" s="1" t="str">
        <f>IF(List!K811="","",List!K811)</f>
        <v/>
      </c>
    </row>
    <row r="812" spans="1:1" hidden="1" x14ac:dyDescent="0.25">
      <c r="A812" s="1" t="str">
        <f>IF(List!K812="","",List!K812)</f>
        <v/>
      </c>
    </row>
    <row r="813" spans="1:1" hidden="1" x14ac:dyDescent="0.25">
      <c r="A813" s="1" t="str">
        <f>IF(List!K813="","",List!K813)</f>
        <v/>
      </c>
    </row>
    <row r="814" spans="1:1" hidden="1" x14ac:dyDescent="0.25">
      <c r="A814" s="1" t="str">
        <f>IF(List!K814="","",List!K814)</f>
        <v/>
      </c>
    </row>
    <row r="815" spans="1:1" hidden="1" x14ac:dyDescent="0.25">
      <c r="A815" s="1" t="str">
        <f>IF(List!K815="","",List!K815)</f>
        <v/>
      </c>
    </row>
    <row r="816" spans="1:1" hidden="1" x14ac:dyDescent="0.25">
      <c r="A816" s="1" t="str">
        <f>IF(List!K816="","",List!K816)</f>
        <v/>
      </c>
    </row>
    <row r="817" spans="1:1" hidden="1" x14ac:dyDescent="0.25">
      <c r="A817" s="1" t="str">
        <f>IF(List!K817="","",List!K817)</f>
        <v/>
      </c>
    </row>
    <row r="818" spans="1:1" hidden="1" x14ac:dyDescent="0.25">
      <c r="A818" s="1" t="str">
        <f>IF(List!K818="","",List!K818)</f>
        <v/>
      </c>
    </row>
    <row r="819" spans="1:1" hidden="1" x14ac:dyDescent="0.25">
      <c r="A819" s="1" t="str">
        <f>IF(List!K819="","",List!K819)</f>
        <v/>
      </c>
    </row>
    <row r="820" spans="1:1" hidden="1" x14ac:dyDescent="0.25">
      <c r="A820" s="1" t="str">
        <f>IF(List!K820="","",List!K820)</f>
        <v/>
      </c>
    </row>
    <row r="821" spans="1:1" hidden="1" x14ac:dyDescent="0.25">
      <c r="A821" s="1" t="str">
        <f>IF(List!K821="","",List!K821)</f>
        <v/>
      </c>
    </row>
    <row r="822" spans="1:1" hidden="1" x14ac:dyDescent="0.25">
      <c r="A822" s="1" t="str">
        <f>IF(List!K822="","",List!K822)</f>
        <v/>
      </c>
    </row>
    <row r="823" spans="1:1" hidden="1" x14ac:dyDescent="0.25">
      <c r="A823" s="1" t="str">
        <f>IF(List!K823="","",List!K823)</f>
        <v/>
      </c>
    </row>
    <row r="824" spans="1:1" hidden="1" x14ac:dyDescent="0.25">
      <c r="A824" s="1" t="str">
        <f>IF(List!K824="","",List!K824)</f>
        <v/>
      </c>
    </row>
    <row r="825" spans="1:1" hidden="1" x14ac:dyDescent="0.25">
      <c r="A825" s="1" t="str">
        <f>IF(List!K825="","",List!K825)</f>
        <v/>
      </c>
    </row>
    <row r="826" spans="1:1" hidden="1" x14ac:dyDescent="0.25">
      <c r="A826" s="1" t="str">
        <f>IF(List!K826="","",List!K826)</f>
        <v/>
      </c>
    </row>
    <row r="827" spans="1:1" hidden="1" x14ac:dyDescent="0.25">
      <c r="A827" s="1" t="str">
        <f>IF(List!K827="","",List!K827)</f>
        <v/>
      </c>
    </row>
    <row r="828" spans="1:1" hidden="1" x14ac:dyDescent="0.25">
      <c r="A828" s="1" t="str">
        <f>IF(List!K828="","",List!K828)</f>
        <v/>
      </c>
    </row>
    <row r="829" spans="1:1" hidden="1" x14ac:dyDescent="0.25">
      <c r="A829" s="1" t="str">
        <f>IF(List!K829="","",List!K829)</f>
        <v/>
      </c>
    </row>
    <row r="830" spans="1:1" hidden="1" x14ac:dyDescent="0.25">
      <c r="A830" s="1" t="str">
        <f>IF(List!K830="","",List!K830)</f>
        <v/>
      </c>
    </row>
    <row r="831" spans="1:1" hidden="1" x14ac:dyDescent="0.25">
      <c r="A831" s="1" t="str">
        <f>IF(List!K831="","",List!K831)</f>
        <v/>
      </c>
    </row>
    <row r="832" spans="1:1" hidden="1" x14ac:dyDescent="0.25">
      <c r="A832" s="1" t="str">
        <f>IF(List!K832="","",List!K832)</f>
        <v/>
      </c>
    </row>
    <row r="833" spans="1:1" hidden="1" x14ac:dyDescent="0.25">
      <c r="A833" s="1" t="str">
        <f>IF(List!K833="","",List!K833)</f>
        <v/>
      </c>
    </row>
    <row r="834" spans="1:1" hidden="1" x14ac:dyDescent="0.25">
      <c r="A834" s="1" t="str">
        <f>IF(List!K834="","",List!K834)</f>
        <v/>
      </c>
    </row>
    <row r="835" spans="1:1" hidden="1" x14ac:dyDescent="0.25">
      <c r="A835" s="1" t="str">
        <f>IF(List!K835="","",List!K835)</f>
        <v/>
      </c>
    </row>
    <row r="836" spans="1:1" hidden="1" x14ac:dyDescent="0.25">
      <c r="A836" s="1" t="str">
        <f>IF(List!K836="","",List!K836)</f>
        <v/>
      </c>
    </row>
    <row r="837" spans="1:1" hidden="1" x14ac:dyDescent="0.25">
      <c r="A837" s="1" t="str">
        <f>IF(List!K837="","",List!K837)</f>
        <v/>
      </c>
    </row>
    <row r="838" spans="1:1" hidden="1" x14ac:dyDescent="0.25">
      <c r="A838" s="1" t="str">
        <f>IF(List!K838="","",List!K838)</f>
        <v/>
      </c>
    </row>
    <row r="839" spans="1:1" hidden="1" x14ac:dyDescent="0.25">
      <c r="A839" s="1" t="str">
        <f>IF(List!K839="","",List!K839)</f>
        <v/>
      </c>
    </row>
    <row r="840" spans="1:1" hidden="1" x14ac:dyDescent="0.25">
      <c r="A840" s="1" t="str">
        <f>IF(List!K840="","",List!K840)</f>
        <v/>
      </c>
    </row>
    <row r="841" spans="1:1" hidden="1" x14ac:dyDescent="0.25">
      <c r="A841" s="1" t="str">
        <f>IF(List!K841="","",List!K841)</f>
        <v/>
      </c>
    </row>
    <row r="842" spans="1:1" hidden="1" x14ac:dyDescent="0.25">
      <c r="A842" s="1" t="str">
        <f>IF(List!K842="","",List!K842)</f>
        <v/>
      </c>
    </row>
    <row r="843" spans="1:1" hidden="1" x14ac:dyDescent="0.25">
      <c r="A843" s="1" t="str">
        <f>IF(List!K843="","",List!K843)</f>
        <v/>
      </c>
    </row>
    <row r="844" spans="1:1" hidden="1" x14ac:dyDescent="0.25">
      <c r="A844" s="1" t="str">
        <f>IF(List!K844="","",List!K844)</f>
        <v/>
      </c>
    </row>
    <row r="845" spans="1:1" hidden="1" x14ac:dyDescent="0.25">
      <c r="A845" s="1" t="str">
        <f>IF(List!K845="","",List!K845)</f>
        <v/>
      </c>
    </row>
    <row r="846" spans="1:1" hidden="1" x14ac:dyDescent="0.25">
      <c r="A846" s="1" t="str">
        <f>IF(List!K846="","",List!K846)</f>
        <v/>
      </c>
    </row>
    <row r="847" spans="1:1" hidden="1" x14ac:dyDescent="0.25">
      <c r="A847" s="1" t="str">
        <f>IF(List!K847="","",List!K847)</f>
        <v/>
      </c>
    </row>
    <row r="848" spans="1:1" hidden="1" x14ac:dyDescent="0.25">
      <c r="A848" s="1" t="str">
        <f>IF(List!K848="","",List!K848)</f>
        <v/>
      </c>
    </row>
    <row r="849" spans="1:1" hidden="1" x14ac:dyDescent="0.25">
      <c r="A849" s="1" t="str">
        <f>IF(List!K849="","",List!K849)</f>
        <v/>
      </c>
    </row>
    <row r="850" spans="1:1" hidden="1" x14ac:dyDescent="0.25">
      <c r="A850" s="1" t="str">
        <f>IF(List!K850="","",List!K850)</f>
        <v/>
      </c>
    </row>
    <row r="851" spans="1:1" hidden="1" x14ac:dyDescent="0.25">
      <c r="A851" s="1" t="str">
        <f>IF(List!K851="","",List!K851)</f>
        <v/>
      </c>
    </row>
    <row r="852" spans="1:1" hidden="1" x14ac:dyDescent="0.25">
      <c r="A852" s="1" t="str">
        <f>IF(List!K852="","",List!K852)</f>
        <v/>
      </c>
    </row>
    <row r="853" spans="1:1" hidden="1" x14ac:dyDescent="0.25">
      <c r="A853" s="1" t="str">
        <f>IF(List!K853="","",List!K853)</f>
        <v/>
      </c>
    </row>
    <row r="854" spans="1:1" hidden="1" x14ac:dyDescent="0.25">
      <c r="A854" s="1" t="str">
        <f>IF(List!K854="","",List!K854)</f>
        <v/>
      </c>
    </row>
    <row r="855" spans="1:1" hidden="1" x14ac:dyDescent="0.25">
      <c r="A855" s="1" t="str">
        <f>IF(List!K855="","",List!K855)</f>
        <v/>
      </c>
    </row>
    <row r="856" spans="1:1" hidden="1" x14ac:dyDescent="0.25">
      <c r="A856" s="1" t="str">
        <f>IF(List!K856="","",List!K856)</f>
        <v/>
      </c>
    </row>
    <row r="857" spans="1:1" hidden="1" x14ac:dyDescent="0.25">
      <c r="A857" s="1" t="str">
        <f>IF(List!K857="","",List!K857)</f>
        <v/>
      </c>
    </row>
    <row r="858" spans="1:1" hidden="1" x14ac:dyDescent="0.25">
      <c r="A858" s="1" t="str">
        <f>IF(List!K858="","",List!K858)</f>
        <v/>
      </c>
    </row>
    <row r="859" spans="1:1" hidden="1" x14ac:dyDescent="0.25">
      <c r="A859" s="1" t="str">
        <f>IF(List!K859="","",List!K859)</f>
        <v/>
      </c>
    </row>
    <row r="860" spans="1:1" hidden="1" x14ac:dyDescent="0.25">
      <c r="A860" s="1" t="str">
        <f>IF(List!K860="","",List!K860)</f>
        <v/>
      </c>
    </row>
    <row r="861" spans="1:1" hidden="1" x14ac:dyDescent="0.25">
      <c r="A861" s="1" t="str">
        <f>IF(List!K861="","",List!K861)</f>
        <v/>
      </c>
    </row>
    <row r="862" spans="1:1" hidden="1" x14ac:dyDescent="0.25">
      <c r="A862" s="1" t="str">
        <f>IF(List!K862="","",List!K862)</f>
        <v/>
      </c>
    </row>
    <row r="863" spans="1:1" hidden="1" x14ac:dyDescent="0.25">
      <c r="A863" s="1" t="str">
        <f>IF(List!K863="","",List!K863)</f>
        <v/>
      </c>
    </row>
    <row r="864" spans="1:1" hidden="1" x14ac:dyDescent="0.25">
      <c r="A864" s="1" t="str">
        <f>IF(List!K864="","",List!K864)</f>
        <v/>
      </c>
    </row>
    <row r="865" spans="1:1" hidden="1" x14ac:dyDescent="0.25">
      <c r="A865" s="1" t="str">
        <f>IF(List!K865="","",List!K865)</f>
        <v/>
      </c>
    </row>
    <row r="866" spans="1:1" hidden="1" x14ac:dyDescent="0.25">
      <c r="A866" s="1" t="str">
        <f>IF(List!K866="","",List!K866)</f>
        <v/>
      </c>
    </row>
    <row r="867" spans="1:1" hidden="1" x14ac:dyDescent="0.25">
      <c r="A867" s="1" t="str">
        <f>IF(List!K867="","",List!K867)</f>
        <v/>
      </c>
    </row>
    <row r="868" spans="1:1" hidden="1" x14ac:dyDescent="0.25">
      <c r="A868" s="1" t="str">
        <f>IF(List!K868="","",List!K868)</f>
        <v/>
      </c>
    </row>
    <row r="869" spans="1:1" hidden="1" x14ac:dyDescent="0.25">
      <c r="A869" s="1" t="str">
        <f>IF(List!K869="","",List!K869)</f>
        <v/>
      </c>
    </row>
    <row r="870" spans="1:1" hidden="1" x14ac:dyDescent="0.25">
      <c r="A870" s="1" t="str">
        <f>IF(List!K870="","",List!K870)</f>
        <v/>
      </c>
    </row>
    <row r="871" spans="1:1" hidden="1" x14ac:dyDescent="0.25">
      <c r="A871" s="1" t="str">
        <f>IF(List!K871="","",List!K871)</f>
        <v/>
      </c>
    </row>
    <row r="872" spans="1:1" hidden="1" x14ac:dyDescent="0.25">
      <c r="A872" s="1" t="str">
        <f>IF(List!K872="","",List!K872)</f>
        <v/>
      </c>
    </row>
    <row r="873" spans="1:1" hidden="1" x14ac:dyDescent="0.25">
      <c r="A873" s="1" t="str">
        <f>IF(List!K873="","",List!K873)</f>
        <v/>
      </c>
    </row>
    <row r="874" spans="1:1" hidden="1" x14ac:dyDescent="0.25">
      <c r="A874" s="1" t="str">
        <f>IF(List!K874="","",List!K874)</f>
        <v/>
      </c>
    </row>
    <row r="875" spans="1:1" hidden="1" x14ac:dyDescent="0.25">
      <c r="A875" s="1" t="str">
        <f>IF(List!K875="","",List!K875)</f>
        <v/>
      </c>
    </row>
    <row r="876" spans="1:1" hidden="1" x14ac:dyDescent="0.25">
      <c r="A876" s="1" t="str">
        <f>IF(List!K876="","",List!K876)</f>
        <v/>
      </c>
    </row>
    <row r="877" spans="1:1" hidden="1" x14ac:dyDescent="0.25">
      <c r="A877" s="1" t="str">
        <f>IF(List!K877="","",List!K877)</f>
        <v/>
      </c>
    </row>
    <row r="878" spans="1:1" hidden="1" x14ac:dyDescent="0.25">
      <c r="A878" s="1" t="str">
        <f>IF(List!K878="","",List!K878)</f>
        <v/>
      </c>
    </row>
    <row r="879" spans="1:1" hidden="1" x14ac:dyDescent="0.25">
      <c r="A879" s="1" t="str">
        <f>IF(List!K879="","",List!K879)</f>
        <v/>
      </c>
    </row>
    <row r="880" spans="1:1" hidden="1" x14ac:dyDescent="0.25">
      <c r="A880" s="1" t="str">
        <f>IF(List!K880="","",List!K880)</f>
        <v/>
      </c>
    </row>
    <row r="881" spans="1:1" hidden="1" x14ac:dyDescent="0.25">
      <c r="A881" s="1" t="str">
        <f>IF(List!K881="","",List!K881)</f>
        <v/>
      </c>
    </row>
    <row r="882" spans="1:1" hidden="1" x14ac:dyDescent="0.25">
      <c r="A882" s="1" t="str">
        <f>IF(List!K882="","",List!K882)</f>
        <v/>
      </c>
    </row>
    <row r="883" spans="1:1" hidden="1" x14ac:dyDescent="0.25">
      <c r="A883" s="1" t="str">
        <f>IF(List!K883="","",List!K883)</f>
        <v/>
      </c>
    </row>
    <row r="884" spans="1:1" hidden="1" x14ac:dyDescent="0.25">
      <c r="A884" s="1" t="str">
        <f>IF(List!K884="","",List!K884)</f>
        <v/>
      </c>
    </row>
    <row r="885" spans="1:1" hidden="1" x14ac:dyDescent="0.25">
      <c r="A885" s="1" t="str">
        <f>IF(List!K885="","",List!K885)</f>
        <v/>
      </c>
    </row>
    <row r="886" spans="1:1" hidden="1" x14ac:dyDescent="0.25">
      <c r="A886" s="1" t="str">
        <f>IF(List!K886="","",List!K886)</f>
        <v/>
      </c>
    </row>
    <row r="887" spans="1:1" hidden="1" x14ac:dyDescent="0.25">
      <c r="A887" s="1" t="str">
        <f>IF(List!K887="","",List!K887)</f>
        <v/>
      </c>
    </row>
    <row r="888" spans="1:1" hidden="1" x14ac:dyDescent="0.25">
      <c r="A888" s="1" t="str">
        <f>IF(List!K888="","",List!K888)</f>
        <v/>
      </c>
    </row>
    <row r="889" spans="1:1" hidden="1" x14ac:dyDescent="0.25">
      <c r="A889" s="1" t="str">
        <f>IF(List!K889="","",List!K889)</f>
        <v/>
      </c>
    </row>
    <row r="890" spans="1:1" hidden="1" x14ac:dyDescent="0.25">
      <c r="A890" s="1" t="str">
        <f>IF(List!K890="","",List!K890)</f>
        <v/>
      </c>
    </row>
    <row r="891" spans="1:1" hidden="1" x14ac:dyDescent="0.25">
      <c r="A891" s="1" t="str">
        <f>IF(List!K891="","",List!K891)</f>
        <v/>
      </c>
    </row>
    <row r="892" spans="1:1" hidden="1" x14ac:dyDescent="0.25">
      <c r="A892" s="1" t="str">
        <f>IF(List!K892="","",List!K892)</f>
        <v/>
      </c>
    </row>
    <row r="893" spans="1:1" hidden="1" x14ac:dyDescent="0.25">
      <c r="A893" s="1" t="str">
        <f>IF(List!K893="","",List!K893)</f>
        <v/>
      </c>
    </row>
    <row r="894" spans="1:1" hidden="1" x14ac:dyDescent="0.25">
      <c r="A894" s="1" t="str">
        <f>IF(List!K894="","",List!K894)</f>
        <v/>
      </c>
    </row>
    <row r="895" spans="1:1" hidden="1" x14ac:dyDescent="0.25">
      <c r="A895" s="1" t="str">
        <f>IF(List!K895="","",List!K895)</f>
        <v/>
      </c>
    </row>
    <row r="896" spans="1:1" hidden="1" x14ac:dyDescent="0.25">
      <c r="A896" s="1" t="str">
        <f>IF(List!K896="","",List!K896)</f>
        <v/>
      </c>
    </row>
    <row r="897" spans="1:1" hidden="1" x14ac:dyDescent="0.25">
      <c r="A897" s="1" t="str">
        <f>IF(List!K897="","",List!K897)</f>
        <v/>
      </c>
    </row>
    <row r="898" spans="1:1" hidden="1" x14ac:dyDescent="0.25">
      <c r="A898" s="1" t="str">
        <f>IF(List!K898="","",List!K898)</f>
        <v/>
      </c>
    </row>
    <row r="899" spans="1:1" hidden="1" x14ac:dyDescent="0.25">
      <c r="A899" s="1" t="str">
        <f>IF(List!K899="","",List!K899)</f>
        <v/>
      </c>
    </row>
    <row r="900" spans="1:1" hidden="1" x14ac:dyDescent="0.25">
      <c r="A900" s="1" t="str">
        <f>IF(List!K900="","",List!K900)</f>
        <v/>
      </c>
    </row>
    <row r="901" spans="1:1" hidden="1" x14ac:dyDescent="0.25">
      <c r="A901" s="1" t="str">
        <f>IF(List!K901="","",List!K901)</f>
        <v/>
      </c>
    </row>
    <row r="902" spans="1:1" hidden="1" x14ac:dyDescent="0.25">
      <c r="A902" s="1" t="str">
        <f>IF(List!K902="","",List!K902)</f>
        <v/>
      </c>
    </row>
    <row r="903" spans="1:1" hidden="1" x14ac:dyDescent="0.25">
      <c r="A903" s="1" t="str">
        <f>IF(List!K903="","",List!K903)</f>
        <v/>
      </c>
    </row>
    <row r="904" spans="1:1" hidden="1" x14ac:dyDescent="0.25">
      <c r="A904" s="1" t="str">
        <f>IF(List!K904="","",List!K904)</f>
        <v/>
      </c>
    </row>
    <row r="905" spans="1:1" hidden="1" x14ac:dyDescent="0.25">
      <c r="A905" s="1" t="str">
        <f>IF(List!K905="","",List!K905)</f>
        <v/>
      </c>
    </row>
    <row r="906" spans="1:1" hidden="1" x14ac:dyDescent="0.25">
      <c r="A906" s="1" t="str">
        <f>IF(List!K906="","",List!K906)</f>
        <v/>
      </c>
    </row>
    <row r="907" spans="1:1" hidden="1" x14ac:dyDescent="0.25">
      <c r="A907" s="1" t="str">
        <f>IF(List!K907="","",List!K907)</f>
        <v/>
      </c>
    </row>
    <row r="908" spans="1:1" hidden="1" x14ac:dyDescent="0.25">
      <c r="A908" s="1" t="str">
        <f>IF(List!K908="","",List!K908)</f>
        <v/>
      </c>
    </row>
    <row r="909" spans="1:1" hidden="1" x14ac:dyDescent="0.25">
      <c r="A909" s="1" t="str">
        <f>IF(List!K909="","",List!K909)</f>
        <v/>
      </c>
    </row>
    <row r="910" spans="1:1" hidden="1" x14ac:dyDescent="0.25">
      <c r="A910" s="1" t="str">
        <f>IF(List!K910="","",List!K910)</f>
        <v/>
      </c>
    </row>
    <row r="911" spans="1:1" hidden="1" x14ac:dyDescent="0.25">
      <c r="A911" s="1" t="str">
        <f>IF(List!K911="","",List!K911)</f>
        <v/>
      </c>
    </row>
    <row r="912" spans="1:1" hidden="1" x14ac:dyDescent="0.25">
      <c r="A912" s="1" t="str">
        <f>IF(List!K912="","",List!K912)</f>
        <v/>
      </c>
    </row>
    <row r="913" spans="1:1" hidden="1" x14ac:dyDescent="0.25">
      <c r="A913" s="1" t="str">
        <f>IF(List!K913="","",List!K913)</f>
        <v/>
      </c>
    </row>
    <row r="914" spans="1:1" hidden="1" x14ac:dyDescent="0.25">
      <c r="A914" s="1" t="str">
        <f>IF(List!K914="","",List!K914)</f>
        <v/>
      </c>
    </row>
    <row r="915" spans="1:1" hidden="1" x14ac:dyDescent="0.25">
      <c r="A915" s="1" t="str">
        <f>IF(List!K915="","",List!K915)</f>
        <v/>
      </c>
    </row>
    <row r="916" spans="1:1" hidden="1" x14ac:dyDescent="0.25">
      <c r="A916" s="1" t="str">
        <f>IF(List!K916="","",List!K916)</f>
        <v/>
      </c>
    </row>
    <row r="917" spans="1:1" hidden="1" x14ac:dyDescent="0.25">
      <c r="A917" s="1" t="str">
        <f>IF(List!K917="","",List!K917)</f>
        <v/>
      </c>
    </row>
    <row r="918" spans="1:1" hidden="1" x14ac:dyDescent="0.25">
      <c r="A918" s="1" t="str">
        <f>IF(List!K918="","",List!K918)</f>
        <v/>
      </c>
    </row>
    <row r="919" spans="1:1" hidden="1" x14ac:dyDescent="0.25">
      <c r="A919" s="1" t="str">
        <f>IF(List!K919="","",List!K919)</f>
        <v/>
      </c>
    </row>
    <row r="920" spans="1:1" hidden="1" x14ac:dyDescent="0.25">
      <c r="A920" s="1" t="str">
        <f>IF(List!K920="","",List!K920)</f>
        <v/>
      </c>
    </row>
    <row r="921" spans="1:1" hidden="1" x14ac:dyDescent="0.25">
      <c r="A921" s="1" t="str">
        <f>IF(List!K921="","",List!K921)</f>
        <v/>
      </c>
    </row>
    <row r="922" spans="1:1" hidden="1" x14ac:dyDescent="0.25">
      <c r="A922" s="1" t="str">
        <f>IF(List!K922="","",List!K922)</f>
        <v/>
      </c>
    </row>
    <row r="923" spans="1:1" hidden="1" x14ac:dyDescent="0.25">
      <c r="A923" s="1" t="str">
        <f>IF(List!K923="","",List!K923)</f>
        <v/>
      </c>
    </row>
    <row r="924" spans="1:1" hidden="1" x14ac:dyDescent="0.25">
      <c r="A924" s="1" t="str">
        <f>IF(List!K924="","",List!K924)</f>
        <v/>
      </c>
    </row>
    <row r="925" spans="1:1" hidden="1" x14ac:dyDescent="0.25">
      <c r="A925" s="1" t="str">
        <f>IF(List!K925="","",List!K925)</f>
        <v/>
      </c>
    </row>
    <row r="926" spans="1:1" hidden="1" x14ac:dyDescent="0.25">
      <c r="A926" s="1" t="str">
        <f>IF(List!K926="","",List!K926)</f>
        <v/>
      </c>
    </row>
    <row r="927" spans="1:1" hidden="1" x14ac:dyDescent="0.25">
      <c r="A927" s="1" t="str">
        <f>IF(List!K927="","",List!K927)</f>
        <v/>
      </c>
    </row>
    <row r="928" spans="1:1" hidden="1" x14ac:dyDescent="0.25">
      <c r="A928" s="1" t="str">
        <f>IF(List!K928="","",List!K928)</f>
        <v/>
      </c>
    </row>
    <row r="929" spans="1:1" hidden="1" x14ac:dyDescent="0.25">
      <c r="A929" s="1" t="str">
        <f>IF(List!K929="","",List!K929)</f>
        <v/>
      </c>
    </row>
    <row r="930" spans="1:1" hidden="1" x14ac:dyDescent="0.25">
      <c r="A930" s="1" t="str">
        <f>IF(List!K930="","",List!K930)</f>
        <v/>
      </c>
    </row>
    <row r="931" spans="1:1" hidden="1" x14ac:dyDescent="0.25">
      <c r="A931" s="1" t="str">
        <f>IF(List!K931="","",List!K931)</f>
        <v/>
      </c>
    </row>
    <row r="932" spans="1:1" hidden="1" x14ac:dyDescent="0.25">
      <c r="A932" s="1" t="str">
        <f>IF(List!K932="","",List!K932)</f>
        <v/>
      </c>
    </row>
    <row r="933" spans="1:1" hidden="1" x14ac:dyDescent="0.25">
      <c r="A933" s="1" t="str">
        <f>IF(List!K933="","",List!K933)</f>
        <v/>
      </c>
    </row>
    <row r="934" spans="1:1" hidden="1" x14ac:dyDescent="0.25">
      <c r="A934" s="1" t="str">
        <f>IF(List!K934="","",List!K934)</f>
        <v/>
      </c>
    </row>
    <row r="935" spans="1:1" hidden="1" x14ac:dyDescent="0.25">
      <c r="A935" s="1" t="str">
        <f>IF(List!K935="","",List!K935)</f>
        <v/>
      </c>
    </row>
    <row r="936" spans="1:1" hidden="1" x14ac:dyDescent="0.25">
      <c r="A936" s="1" t="str">
        <f>IF(List!K936="","",List!K936)</f>
        <v/>
      </c>
    </row>
    <row r="937" spans="1:1" hidden="1" x14ac:dyDescent="0.25">
      <c r="A937" s="1" t="str">
        <f>IF(List!K937="","",List!K937)</f>
        <v/>
      </c>
    </row>
    <row r="938" spans="1:1" hidden="1" x14ac:dyDescent="0.25">
      <c r="A938" s="1" t="str">
        <f>IF(List!K938="","",List!K938)</f>
        <v/>
      </c>
    </row>
    <row r="939" spans="1:1" hidden="1" x14ac:dyDescent="0.25">
      <c r="A939" s="1" t="str">
        <f>IF(List!K939="","",List!K939)</f>
        <v/>
      </c>
    </row>
    <row r="940" spans="1:1" hidden="1" x14ac:dyDescent="0.25">
      <c r="A940" s="1" t="str">
        <f>IF(List!K940="","",List!K940)</f>
        <v/>
      </c>
    </row>
    <row r="941" spans="1:1" hidden="1" x14ac:dyDescent="0.25">
      <c r="A941" s="1" t="str">
        <f>IF(List!K941="","",List!K941)</f>
        <v/>
      </c>
    </row>
    <row r="942" spans="1:1" hidden="1" x14ac:dyDescent="0.25">
      <c r="A942" s="1" t="str">
        <f>IF(List!K942="","",List!K942)</f>
        <v/>
      </c>
    </row>
    <row r="943" spans="1:1" hidden="1" x14ac:dyDescent="0.25">
      <c r="A943" s="1" t="str">
        <f>IF(List!K943="","",List!K943)</f>
        <v/>
      </c>
    </row>
    <row r="944" spans="1:1" hidden="1" x14ac:dyDescent="0.25">
      <c r="A944" s="1" t="str">
        <f>IF(List!K944="","",List!K944)</f>
        <v/>
      </c>
    </row>
    <row r="945" spans="1:1" hidden="1" x14ac:dyDescent="0.25">
      <c r="A945" s="1" t="str">
        <f>IF(List!K945="","",List!K945)</f>
        <v/>
      </c>
    </row>
    <row r="946" spans="1:1" hidden="1" x14ac:dyDescent="0.25">
      <c r="A946" s="1" t="str">
        <f>IF(List!K946="","",List!K946)</f>
        <v/>
      </c>
    </row>
    <row r="947" spans="1:1" hidden="1" x14ac:dyDescent="0.25">
      <c r="A947" s="1" t="str">
        <f>IF(List!K947="","",List!K947)</f>
        <v/>
      </c>
    </row>
    <row r="948" spans="1:1" hidden="1" x14ac:dyDescent="0.25">
      <c r="A948" s="1" t="str">
        <f>IF(List!K948="","",List!K948)</f>
        <v/>
      </c>
    </row>
    <row r="949" spans="1:1" hidden="1" x14ac:dyDescent="0.25">
      <c r="A949" s="1" t="str">
        <f>IF(List!K949="","",List!K949)</f>
        <v/>
      </c>
    </row>
    <row r="950" spans="1:1" hidden="1" x14ac:dyDescent="0.25">
      <c r="A950" s="1" t="str">
        <f>IF(List!K950="","",List!K950)</f>
        <v/>
      </c>
    </row>
    <row r="951" spans="1:1" hidden="1" x14ac:dyDescent="0.25">
      <c r="A951" s="1" t="str">
        <f>IF(List!K951="","",List!K951)</f>
        <v/>
      </c>
    </row>
    <row r="952" spans="1:1" hidden="1" x14ac:dyDescent="0.25">
      <c r="A952" s="1" t="str">
        <f>IF(List!K952="","",List!K952)</f>
        <v/>
      </c>
    </row>
    <row r="953" spans="1:1" hidden="1" x14ac:dyDescent="0.25">
      <c r="A953" s="1" t="str">
        <f>IF(List!K953="","",List!K953)</f>
        <v/>
      </c>
    </row>
    <row r="954" spans="1:1" hidden="1" x14ac:dyDescent="0.25">
      <c r="A954" s="1" t="str">
        <f>IF(List!K954="","",List!K954)</f>
        <v/>
      </c>
    </row>
    <row r="955" spans="1:1" hidden="1" x14ac:dyDescent="0.25">
      <c r="A955" s="1" t="str">
        <f>IF(List!K955="","",List!K955)</f>
        <v/>
      </c>
    </row>
    <row r="956" spans="1:1" hidden="1" x14ac:dyDescent="0.25">
      <c r="A956" s="1" t="str">
        <f>IF(List!K956="","",List!K956)</f>
        <v/>
      </c>
    </row>
    <row r="957" spans="1:1" hidden="1" x14ac:dyDescent="0.25">
      <c r="A957" s="1" t="str">
        <f>IF(List!K957="","",List!K957)</f>
        <v/>
      </c>
    </row>
    <row r="958" spans="1:1" hidden="1" x14ac:dyDescent="0.25">
      <c r="A958" s="1" t="str">
        <f>IF(List!K958="","",List!K958)</f>
        <v/>
      </c>
    </row>
    <row r="959" spans="1:1" hidden="1" x14ac:dyDescent="0.25">
      <c r="A959" s="1" t="str">
        <f>IF(List!K959="","",List!K959)</f>
        <v/>
      </c>
    </row>
    <row r="960" spans="1:1" hidden="1" x14ac:dyDescent="0.25">
      <c r="A960" s="1" t="str">
        <f>IF(List!K960="","",List!K960)</f>
        <v/>
      </c>
    </row>
    <row r="961" spans="1:1" hidden="1" x14ac:dyDescent="0.25">
      <c r="A961" s="1" t="str">
        <f>IF(List!K961="","",List!K961)</f>
        <v/>
      </c>
    </row>
    <row r="962" spans="1:1" hidden="1" x14ac:dyDescent="0.25">
      <c r="A962" s="1" t="str">
        <f>IF(List!K962="","",List!K962)</f>
        <v/>
      </c>
    </row>
    <row r="963" spans="1:1" hidden="1" x14ac:dyDescent="0.25">
      <c r="A963" s="1" t="str">
        <f>IF(List!K963="","",List!K963)</f>
        <v/>
      </c>
    </row>
    <row r="964" spans="1:1" hidden="1" x14ac:dyDescent="0.25">
      <c r="A964" s="1" t="str">
        <f>IF(List!K964="","",List!K964)</f>
        <v/>
      </c>
    </row>
    <row r="965" spans="1:1" hidden="1" x14ac:dyDescent="0.25">
      <c r="A965" s="1" t="str">
        <f>IF(List!K965="","",List!K965)</f>
        <v/>
      </c>
    </row>
    <row r="966" spans="1:1" hidden="1" x14ac:dyDescent="0.25">
      <c r="A966" s="1" t="str">
        <f>IF(List!K966="","",List!K966)</f>
        <v/>
      </c>
    </row>
    <row r="967" spans="1:1" hidden="1" x14ac:dyDescent="0.25">
      <c r="A967" s="1" t="str">
        <f>IF(List!K967="","",List!K967)</f>
        <v/>
      </c>
    </row>
    <row r="968" spans="1:1" hidden="1" x14ac:dyDescent="0.25">
      <c r="A968" s="1" t="str">
        <f>IF(List!K968="","",List!K968)</f>
        <v/>
      </c>
    </row>
    <row r="969" spans="1:1" hidden="1" x14ac:dyDescent="0.25">
      <c r="A969" s="1" t="str">
        <f>IF(List!K969="","",List!K969)</f>
        <v/>
      </c>
    </row>
    <row r="970" spans="1:1" hidden="1" x14ac:dyDescent="0.25">
      <c r="A970" s="1" t="str">
        <f>IF(List!K970="","",List!K970)</f>
        <v/>
      </c>
    </row>
    <row r="971" spans="1:1" hidden="1" x14ac:dyDescent="0.25">
      <c r="A971" s="1" t="str">
        <f>IF(List!K971="","",List!K971)</f>
        <v/>
      </c>
    </row>
    <row r="972" spans="1:1" hidden="1" x14ac:dyDescent="0.25">
      <c r="A972" s="1" t="str">
        <f>IF(List!K972="","",List!K972)</f>
        <v/>
      </c>
    </row>
    <row r="973" spans="1:1" hidden="1" x14ac:dyDescent="0.25">
      <c r="A973" s="1" t="str">
        <f>IF(List!K973="","",List!K973)</f>
        <v/>
      </c>
    </row>
    <row r="974" spans="1:1" hidden="1" x14ac:dyDescent="0.25">
      <c r="A974" s="1" t="str">
        <f>IF(List!K974="","",List!K974)</f>
        <v/>
      </c>
    </row>
    <row r="975" spans="1:1" hidden="1" x14ac:dyDescent="0.25">
      <c r="A975" s="1" t="str">
        <f>IF(List!K975="","",List!K975)</f>
        <v/>
      </c>
    </row>
    <row r="976" spans="1:1" hidden="1" x14ac:dyDescent="0.25">
      <c r="A976" s="1" t="str">
        <f>IF(List!K976="","",List!K976)</f>
        <v/>
      </c>
    </row>
    <row r="977" spans="1:1" hidden="1" x14ac:dyDescent="0.25">
      <c r="A977" s="1" t="str">
        <f>IF(List!K977="","",List!K977)</f>
        <v/>
      </c>
    </row>
    <row r="978" spans="1:1" hidden="1" x14ac:dyDescent="0.25">
      <c r="A978" s="1" t="str">
        <f>IF(List!K978="","",List!K978)</f>
        <v/>
      </c>
    </row>
    <row r="979" spans="1:1" hidden="1" x14ac:dyDescent="0.25">
      <c r="A979" s="1" t="str">
        <f>IF(List!K979="","",List!K979)</f>
        <v/>
      </c>
    </row>
    <row r="980" spans="1:1" hidden="1" x14ac:dyDescent="0.25">
      <c r="A980" s="1" t="str">
        <f>IF(List!K980="","",List!K980)</f>
        <v/>
      </c>
    </row>
    <row r="981" spans="1:1" hidden="1" x14ac:dyDescent="0.25">
      <c r="A981" s="1" t="str">
        <f>IF(List!K981="","",List!K981)</f>
        <v/>
      </c>
    </row>
    <row r="982" spans="1:1" hidden="1" x14ac:dyDescent="0.25">
      <c r="A982" s="1" t="str">
        <f>IF(List!K982="","",List!K982)</f>
        <v/>
      </c>
    </row>
    <row r="983" spans="1:1" hidden="1" x14ac:dyDescent="0.25">
      <c r="A983" s="1" t="str">
        <f>IF(List!K983="","",List!K983)</f>
        <v/>
      </c>
    </row>
    <row r="984" spans="1:1" hidden="1" x14ac:dyDescent="0.25">
      <c r="A984" s="1" t="str">
        <f>IF(List!K984="","",List!K984)</f>
        <v/>
      </c>
    </row>
    <row r="985" spans="1:1" hidden="1" x14ac:dyDescent="0.25">
      <c r="A985" s="1" t="str">
        <f>IF(List!K985="","",List!K985)</f>
        <v/>
      </c>
    </row>
    <row r="986" spans="1:1" hidden="1" x14ac:dyDescent="0.25">
      <c r="A986" s="1" t="str">
        <f>IF(List!K986="","",List!K986)</f>
        <v/>
      </c>
    </row>
    <row r="987" spans="1:1" hidden="1" x14ac:dyDescent="0.25">
      <c r="A987" s="1" t="str">
        <f>IF(List!K987="","",List!K987)</f>
        <v/>
      </c>
    </row>
    <row r="988" spans="1:1" hidden="1" x14ac:dyDescent="0.25">
      <c r="A988" s="1" t="str">
        <f>IF(List!K988="","",List!K988)</f>
        <v/>
      </c>
    </row>
    <row r="989" spans="1:1" hidden="1" x14ac:dyDescent="0.25">
      <c r="A989" s="1" t="str">
        <f>IF(List!K989="","",List!K989)</f>
        <v/>
      </c>
    </row>
    <row r="990" spans="1:1" hidden="1" x14ac:dyDescent="0.25">
      <c r="A990" s="1" t="str">
        <f>IF(List!K990="","",List!K990)</f>
        <v/>
      </c>
    </row>
    <row r="991" spans="1:1" hidden="1" x14ac:dyDescent="0.25">
      <c r="A991" s="1" t="str">
        <f>IF(List!K991="","",List!K991)</f>
        <v/>
      </c>
    </row>
    <row r="992" spans="1:1" hidden="1" x14ac:dyDescent="0.25">
      <c r="A992" s="1" t="str">
        <f>IF(List!K992="","",List!K992)</f>
        <v/>
      </c>
    </row>
    <row r="993" spans="1:1" hidden="1" x14ac:dyDescent="0.25">
      <c r="A993" s="1" t="str">
        <f>IF(List!K993="","",List!K993)</f>
        <v/>
      </c>
    </row>
    <row r="994" spans="1:1" hidden="1" x14ac:dyDescent="0.25">
      <c r="A994" s="1" t="str">
        <f>IF(List!K994="","",List!K994)</f>
        <v/>
      </c>
    </row>
    <row r="995" spans="1:1" hidden="1" x14ac:dyDescent="0.25">
      <c r="A995" s="1" t="str">
        <f>IF(List!K995="","",List!K995)</f>
        <v/>
      </c>
    </row>
    <row r="996" spans="1:1" hidden="1" x14ac:dyDescent="0.25">
      <c r="A996" s="1" t="str">
        <f>IF(List!K996="","",List!K996)</f>
        <v/>
      </c>
    </row>
    <row r="997" spans="1:1" hidden="1" x14ac:dyDescent="0.25">
      <c r="A997" s="1" t="str">
        <f>IF(List!K997="","",List!K997)</f>
        <v/>
      </c>
    </row>
    <row r="998" spans="1:1" hidden="1" x14ac:dyDescent="0.25">
      <c r="A998" s="1" t="str">
        <f>IF(List!K998="","",List!K998)</f>
        <v/>
      </c>
    </row>
    <row r="999" spans="1:1" hidden="1" x14ac:dyDescent="0.25">
      <c r="A999" s="1" t="str">
        <f>IF(List!K999="","",List!K999)</f>
        <v/>
      </c>
    </row>
    <row r="1000" spans="1:1" hidden="1" x14ac:dyDescent="0.25">
      <c r="A1000" s="1" t="str">
        <f>IF(List!K1000="","",List!K1000)</f>
        <v/>
      </c>
    </row>
    <row r="1001" spans="1:1" hidden="1" x14ac:dyDescent="0.25">
      <c r="A1001" s="1" t="str">
        <f>IF(List!K1001="","",List!K1001)</f>
        <v/>
      </c>
    </row>
    <row r="1002" spans="1:1" hidden="1" x14ac:dyDescent="0.25">
      <c r="A1002" s="1" t="str">
        <f>IF(List!K1002="","",List!K1002)</f>
        <v/>
      </c>
    </row>
    <row r="1003" spans="1:1" hidden="1" x14ac:dyDescent="0.25">
      <c r="A1003" s="1" t="str">
        <f>IF(List!K1003="","",List!K1003)</f>
        <v/>
      </c>
    </row>
    <row r="1004" spans="1:1" hidden="1" x14ac:dyDescent="0.25">
      <c r="A1004" s="1" t="str">
        <f>IF(List!K1004="","",List!K1004)</f>
        <v/>
      </c>
    </row>
    <row r="1005" spans="1:1" hidden="1" x14ac:dyDescent="0.25">
      <c r="A1005" s="1" t="str">
        <f>IF(List!K1005="","",List!K1005)</f>
        <v/>
      </c>
    </row>
    <row r="1006" spans="1:1" hidden="1" x14ac:dyDescent="0.25">
      <c r="A1006" s="1" t="str">
        <f>IF(List!K1006="","",List!K1006)</f>
        <v/>
      </c>
    </row>
    <row r="1007" spans="1:1" hidden="1" x14ac:dyDescent="0.25">
      <c r="A1007" s="1" t="str">
        <f>IF(List!K1007="","",List!K1007)</f>
        <v/>
      </c>
    </row>
    <row r="1008" spans="1:1" hidden="1" x14ac:dyDescent="0.25">
      <c r="A1008" s="1" t="str">
        <f>IF(List!K1008="","",List!K1008)</f>
        <v/>
      </c>
    </row>
    <row r="1009" spans="1:1" hidden="1" x14ac:dyDescent="0.25">
      <c r="A1009" s="1" t="str">
        <f>IF(List!K1009="","",List!K1009)</f>
        <v/>
      </c>
    </row>
    <row r="1010" spans="1:1" hidden="1" x14ac:dyDescent="0.25">
      <c r="A1010" s="1" t="str">
        <f>IF(List!K1010="","",List!K1010)</f>
        <v/>
      </c>
    </row>
    <row r="1011" spans="1:1" hidden="1" x14ac:dyDescent="0.25">
      <c r="A1011" s="1" t="str">
        <f>IF(List!K1011="","",List!K1011)</f>
        <v/>
      </c>
    </row>
    <row r="1012" spans="1:1" hidden="1" x14ac:dyDescent="0.25">
      <c r="A1012" s="1" t="str">
        <f>IF(List!K1012="","",List!K1012)</f>
        <v/>
      </c>
    </row>
    <row r="1013" spans="1:1" hidden="1" x14ac:dyDescent="0.25">
      <c r="A1013" s="1" t="str">
        <f>IF(List!K1013="","",List!K1013)</f>
        <v/>
      </c>
    </row>
    <row r="1014" spans="1:1" hidden="1" x14ac:dyDescent="0.25">
      <c r="A1014" s="1" t="str">
        <f>IF(List!K1014="","",List!K1014)</f>
        <v/>
      </c>
    </row>
    <row r="1015" spans="1:1" hidden="1" x14ac:dyDescent="0.25">
      <c r="A1015" s="1" t="str">
        <f>IF(List!K1015="","",List!K1015)</f>
        <v/>
      </c>
    </row>
    <row r="1016" spans="1:1" hidden="1" x14ac:dyDescent="0.25">
      <c r="A1016" s="1" t="str">
        <f>IF(List!K1016="","",List!K1016)</f>
        <v/>
      </c>
    </row>
    <row r="1017" spans="1:1" hidden="1" x14ac:dyDescent="0.25">
      <c r="A1017" s="1" t="str">
        <f>IF(List!K1017="","",List!K1017)</f>
        <v/>
      </c>
    </row>
    <row r="1018" spans="1:1" hidden="1" x14ac:dyDescent="0.25">
      <c r="A1018" s="1" t="str">
        <f>IF(List!K1018="","",List!K1018)</f>
        <v/>
      </c>
    </row>
    <row r="1019" spans="1:1" hidden="1" x14ac:dyDescent="0.25">
      <c r="A1019" s="1" t="str">
        <f>IF(List!K1019="","",List!K1019)</f>
        <v/>
      </c>
    </row>
    <row r="1020" spans="1:1" hidden="1" x14ac:dyDescent="0.25">
      <c r="A1020" s="1" t="str">
        <f>IF(List!K1020="","",List!K1020)</f>
        <v/>
      </c>
    </row>
    <row r="1021" spans="1:1" hidden="1" x14ac:dyDescent="0.25">
      <c r="A1021" s="1" t="str">
        <f>IF(List!K1021="","",List!K1021)</f>
        <v/>
      </c>
    </row>
    <row r="1022" spans="1:1" hidden="1" x14ac:dyDescent="0.25">
      <c r="A1022" s="1" t="str">
        <f>IF(List!K1022="","",List!K1022)</f>
        <v/>
      </c>
    </row>
    <row r="1023" spans="1:1" hidden="1" x14ac:dyDescent="0.25">
      <c r="A1023" s="1" t="str">
        <f>IF(List!K1023="","",List!K1023)</f>
        <v/>
      </c>
    </row>
    <row r="1024" spans="1:1" hidden="1" x14ac:dyDescent="0.25">
      <c r="A1024" s="1" t="str">
        <f>IF(List!K1024="","",List!K1024)</f>
        <v/>
      </c>
    </row>
    <row r="1025" spans="1:1" hidden="1" x14ac:dyDescent="0.25">
      <c r="A1025" s="1" t="str">
        <f>IF(List!K1025="","",List!K1025)</f>
        <v/>
      </c>
    </row>
    <row r="1026" spans="1:1" hidden="1" x14ac:dyDescent="0.25">
      <c r="A1026" s="1" t="str">
        <f>IF(List!K1026="","",List!K1026)</f>
        <v/>
      </c>
    </row>
    <row r="1027" spans="1:1" hidden="1" x14ac:dyDescent="0.25">
      <c r="A1027" s="1" t="str">
        <f>IF(List!K1027="","",List!K1027)</f>
        <v/>
      </c>
    </row>
    <row r="1028" spans="1:1" hidden="1" x14ac:dyDescent="0.25">
      <c r="A1028" s="1" t="str">
        <f>IF(List!K1028="","",List!K1028)</f>
        <v/>
      </c>
    </row>
    <row r="1029" spans="1:1" hidden="1" x14ac:dyDescent="0.25">
      <c r="A1029" s="1" t="str">
        <f>IF(List!K1029="","",List!K1029)</f>
        <v/>
      </c>
    </row>
    <row r="1030" spans="1:1" hidden="1" x14ac:dyDescent="0.25">
      <c r="A1030" s="1" t="str">
        <f>IF(List!K1030="","",List!K1030)</f>
        <v/>
      </c>
    </row>
    <row r="1031" spans="1:1" hidden="1" x14ac:dyDescent="0.25">
      <c r="A1031" s="1" t="str">
        <f>IF(List!K1031="","",List!K1031)</f>
        <v/>
      </c>
    </row>
    <row r="1032" spans="1:1" hidden="1" x14ac:dyDescent="0.25">
      <c r="A1032" s="1" t="str">
        <f>IF(List!K1032="","",List!K1032)</f>
        <v/>
      </c>
    </row>
    <row r="1033" spans="1:1" hidden="1" x14ac:dyDescent="0.25">
      <c r="A1033" s="1" t="str">
        <f>IF(List!K1033="","",List!K1033)</f>
        <v/>
      </c>
    </row>
    <row r="1034" spans="1:1" hidden="1" x14ac:dyDescent="0.25">
      <c r="A1034" s="1" t="str">
        <f>IF(List!K1034="","",List!K1034)</f>
        <v/>
      </c>
    </row>
    <row r="1035" spans="1:1" hidden="1" x14ac:dyDescent="0.25">
      <c r="A1035" s="1" t="str">
        <f>IF(List!K1035="","",List!K1035)</f>
        <v/>
      </c>
    </row>
    <row r="1036" spans="1:1" hidden="1" x14ac:dyDescent="0.25">
      <c r="A1036" s="1" t="str">
        <f>IF(List!K1036="","",List!K1036)</f>
        <v/>
      </c>
    </row>
    <row r="1037" spans="1:1" hidden="1" x14ac:dyDescent="0.25">
      <c r="A1037" s="1" t="str">
        <f>IF(List!K1037="","",List!K1037)</f>
        <v/>
      </c>
    </row>
    <row r="1038" spans="1:1" hidden="1" x14ac:dyDescent="0.25">
      <c r="A1038" s="1" t="str">
        <f>IF(List!K1038="","",List!K1038)</f>
        <v/>
      </c>
    </row>
    <row r="1039" spans="1:1" hidden="1" x14ac:dyDescent="0.25">
      <c r="A1039" s="1" t="str">
        <f>IF(List!K1039="","",List!K1039)</f>
        <v/>
      </c>
    </row>
    <row r="1040" spans="1:1" hidden="1" x14ac:dyDescent="0.25">
      <c r="A1040" s="1" t="str">
        <f>IF(List!K1040="","",List!K1040)</f>
        <v/>
      </c>
    </row>
    <row r="1041" spans="1:1" hidden="1" x14ac:dyDescent="0.25">
      <c r="A1041" s="1" t="str">
        <f>IF(List!K1041="","",List!K1041)</f>
        <v/>
      </c>
    </row>
    <row r="1042" spans="1:1" hidden="1" x14ac:dyDescent="0.25">
      <c r="A1042" s="1" t="str">
        <f>IF(List!K1042="","",List!K1042)</f>
        <v/>
      </c>
    </row>
    <row r="1043" spans="1:1" hidden="1" x14ac:dyDescent="0.25">
      <c r="A1043" s="1" t="str">
        <f>IF(List!K1043="","",List!K1043)</f>
        <v/>
      </c>
    </row>
    <row r="1044" spans="1:1" hidden="1" x14ac:dyDescent="0.25">
      <c r="A1044" s="1" t="str">
        <f>IF(List!K1044="","",List!K1044)</f>
        <v/>
      </c>
    </row>
    <row r="1045" spans="1:1" hidden="1" x14ac:dyDescent="0.25">
      <c r="A1045" s="1" t="str">
        <f>IF(List!K1045="","",List!K1045)</f>
        <v/>
      </c>
    </row>
    <row r="1046" spans="1:1" hidden="1" x14ac:dyDescent="0.25">
      <c r="A1046" s="1" t="str">
        <f>IF(List!K1046="","",List!K1046)</f>
        <v/>
      </c>
    </row>
    <row r="1047" spans="1:1" hidden="1" x14ac:dyDescent="0.25">
      <c r="A1047" s="1" t="str">
        <f>IF(List!K1047="","",List!K1047)</f>
        <v/>
      </c>
    </row>
    <row r="1048" spans="1:1" hidden="1" x14ac:dyDescent="0.25">
      <c r="A1048" s="1" t="str">
        <f>IF(List!K1048="","",List!K1048)</f>
        <v/>
      </c>
    </row>
    <row r="1049" spans="1:1" hidden="1" x14ac:dyDescent="0.25">
      <c r="A1049" s="1" t="str">
        <f>IF(List!K1049="","",List!K1049)</f>
        <v/>
      </c>
    </row>
    <row r="1050" spans="1:1" hidden="1" x14ac:dyDescent="0.25">
      <c r="A1050" s="1" t="str">
        <f>IF(List!K1050="","",List!K1050)</f>
        <v/>
      </c>
    </row>
    <row r="1051" spans="1:1" hidden="1" x14ac:dyDescent="0.25">
      <c r="A1051" s="1" t="str">
        <f>IF(List!K1051="","",List!K1051)</f>
        <v/>
      </c>
    </row>
    <row r="1052" spans="1:1" hidden="1" x14ac:dyDescent="0.25">
      <c r="A1052" s="1" t="str">
        <f>IF(List!K1052="","",List!K1052)</f>
        <v/>
      </c>
    </row>
    <row r="1053" spans="1:1" hidden="1" x14ac:dyDescent="0.25">
      <c r="A1053" s="1" t="str">
        <f>IF(List!K1053="","",List!K1053)</f>
        <v/>
      </c>
    </row>
    <row r="1054" spans="1:1" hidden="1" x14ac:dyDescent="0.25">
      <c r="A1054" s="1" t="str">
        <f>IF(List!K1054="","",List!K1054)</f>
        <v/>
      </c>
    </row>
    <row r="1055" spans="1:1" hidden="1" x14ac:dyDescent="0.25">
      <c r="A1055" s="1" t="str">
        <f>IF(List!K1055="","",List!K1055)</f>
        <v/>
      </c>
    </row>
    <row r="1056" spans="1:1" hidden="1" x14ac:dyDescent="0.25">
      <c r="A1056" s="1" t="str">
        <f>IF(List!K1056="","",List!K1056)</f>
        <v/>
      </c>
    </row>
    <row r="1057" spans="1:1" hidden="1" x14ac:dyDescent="0.25">
      <c r="A1057" s="1" t="str">
        <f>IF(List!K1057="","",List!K1057)</f>
        <v/>
      </c>
    </row>
    <row r="1058" spans="1:1" hidden="1" x14ac:dyDescent="0.25">
      <c r="A1058" s="1" t="str">
        <f>IF(List!K1058="","",List!K1058)</f>
        <v/>
      </c>
    </row>
    <row r="1059" spans="1:1" hidden="1" x14ac:dyDescent="0.25">
      <c r="A1059" s="1" t="str">
        <f>IF(List!K1059="","",List!K1059)</f>
        <v/>
      </c>
    </row>
    <row r="1060" spans="1:1" hidden="1" x14ac:dyDescent="0.25">
      <c r="A1060" s="1" t="str">
        <f>IF(List!K1060="","",List!K1060)</f>
        <v/>
      </c>
    </row>
    <row r="1061" spans="1:1" hidden="1" x14ac:dyDescent="0.25">
      <c r="A1061" s="1" t="str">
        <f>IF(List!K1061="","",List!K1061)</f>
        <v/>
      </c>
    </row>
    <row r="1062" spans="1:1" hidden="1" x14ac:dyDescent="0.25">
      <c r="A1062" s="1" t="str">
        <f>IF(List!K1062="","",List!K1062)</f>
        <v/>
      </c>
    </row>
    <row r="1063" spans="1:1" hidden="1" x14ac:dyDescent="0.25">
      <c r="A1063" s="1" t="str">
        <f>IF(List!K1063="","",List!K1063)</f>
        <v/>
      </c>
    </row>
    <row r="1064" spans="1:1" hidden="1" x14ac:dyDescent="0.25">
      <c r="A1064" s="1" t="str">
        <f>IF(List!K1064="","",List!K1064)</f>
        <v/>
      </c>
    </row>
    <row r="1065" spans="1:1" hidden="1" x14ac:dyDescent="0.25">
      <c r="A1065" s="1" t="str">
        <f>IF(List!K1065="","",List!K1065)</f>
        <v/>
      </c>
    </row>
    <row r="1066" spans="1:1" hidden="1" x14ac:dyDescent="0.25">
      <c r="A1066" s="1" t="str">
        <f>IF(List!K1066="","",List!K1066)</f>
        <v/>
      </c>
    </row>
    <row r="1067" spans="1:1" hidden="1" x14ac:dyDescent="0.25">
      <c r="A1067" s="1" t="str">
        <f>IF(List!K1067="","",List!K1067)</f>
        <v/>
      </c>
    </row>
    <row r="1068" spans="1:1" hidden="1" x14ac:dyDescent="0.25">
      <c r="A1068" s="1" t="str">
        <f>IF(List!K1068="","",List!K1068)</f>
        <v/>
      </c>
    </row>
    <row r="1069" spans="1:1" hidden="1" x14ac:dyDescent="0.25">
      <c r="A1069" s="1" t="str">
        <f>IF(List!K1069="","",List!K1069)</f>
        <v/>
      </c>
    </row>
    <row r="1070" spans="1:1" hidden="1" x14ac:dyDescent="0.25">
      <c r="A1070" s="1" t="str">
        <f>IF(List!K1070="","",List!K1070)</f>
        <v/>
      </c>
    </row>
    <row r="1071" spans="1:1" hidden="1" x14ac:dyDescent="0.25">
      <c r="A1071" s="1" t="str">
        <f>IF(List!K1071="","",List!K1071)</f>
        <v/>
      </c>
    </row>
    <row r="1072" spans="1:1" hidden="1" x14ac:dyDescent="0.25">
      <c r="A1072" s="1" t="str">
        <f>IF(List!K1072="","",List!K1072)</f>
        <v/>
      </c>
    </row>
    <row r="1073" spans="1:1" hidden="1" x14ac:dyDescent="0.25">
      <c r="A1073" s="1" t="str">
        <f>IF(List!K1073="","",List!K1073)</f>
        <v/>
      </c>
    </row>
    <row r="1074" spans="1:1" hidden="1" x14ac:dyDescent="0.25">
      <c r="A1074" s="1" t="str">
        <f>IF(List!K1074="","",List!K1074)</f>
        <v/>
      </c>
    </row>
    <row r="1075" spans="1:1" hidden="1" x14ac:dyDescent="0.25">
      <c r="A1075" s="1" t="str">
        <f>IF(List!K1075="","",List!K1075)</f>
        <v/>
      </c>
    </row>
    <row r="1076" spans="1:1" hidden="1" x14ac:dyDescent="0.25">
      <c r="A1076" s="1" t="str">
        <f>IF(List!K1076="","",List!K1076)</f>
        <v/>
      </c>
    </row>
    <row r="1077" spans="1:1" hidden="1" x14ac:dyDescent="0.25">
      <c r="A1077" s="1" t="str">
        <f>IF(List!K1077="","",List!K1077)</f>
        <v/>
      </c>
    </row>
    <row r="1078" spans="1:1" hidden="1" x14ac:dyDescent="0.25">
      <c r="A1078" s="1" t="str">
        <f>IF(List!K1078="","",List!K1078)</f>
        <v/>
      </c>
    </row>
    <row r="1079" spans="1:1" hidden="1" x14ac:dyDescent="0.25">
      <c r="A1079" s="1" t="str">
        <f>IF(List!K1079="","",List!K1079)</f>
        <v/>
      </c>
    </row>
    <row r="1080" spans="1:1" hidden="1" x14ac:dyDescent="0.25">
      <c r="A1080" s="1" t="str">
        <f>IF(List!K1080="","",List!K1080)</f>
        <v/>
      </c>
    </row>
    <row r="1081" spans="1:1" hidden="1" x14ac:dyDescent="0.25">
      <c r="A1081" s="1" t="str">
        <f>IF(List!K1081="","",List!K1081)</f>
        <v/>
      </c>
    </row>
    <row r="1082" spans="1:1" hidden="1" x14ac:dyDescent="0.25">
      <c r="A1082" s="1" t="str">
        <f>IF(List!K1082="","",List!K1082)</f>
        <v/>
      </c>
    </row>
    <row r="1083" spans="1:1" hidden="1" x14ac:dyDescent="0.25">
      <c r="A1083" s="1" t="str">
        <f>IF(List!K1083="","",List!K1083)</f>
        <v/>
      </c>
    </row>
    <row r="1084" spans="1:1" hidden="1" x14ac:dyDescent="0.25">
      <c r="A1084" s="1" t="str">
        <f>IF(List!K1084="","",List!K1084)</f>
        <v/>
      </c>
    </row>
    <row r="1085" spans="1:1" hidden="1" x14ac:dyDescent="0.25">
      <c r="A1085" s="1" t="str">
        <f>IF(List!K1085="","",List!K1085)</f>
        <v/>
      </c>
    </row>
    <row r="1086" spans="1:1" hidden="1" x14ac:dyDescent="0.25">
      <c r="A1086" s="1" t="str">
        <f>IF(List!K1086="","",List!K1086)</f>
        <v/>
      </c>
    </row>
    <row r="1087" spans="1:1" hidden="1" x14ac:dyDescent="0.25">
      <c r="A1087" s="1" t="str">
        <f>IF(List!K1087="","",List!K1087)</f>
        <v/>
      </c>
    </row>
    <row r="1088" spans="1:1" hidden="1" x14ac:dyDescent="0.25">
      <c r="A1088" s="1" t="str">
        <f>IF(List!K1088="","",List!K1088)</f>
        <v/>
      </c>
    </row>
    <row r="1089" spans="1:1" hidden="1" x14ac:dyDescent="0.25">
      <c r="A1089" s="1" t="str">
        <f>IF(List!K1089="","",List!K1089)</f>
        <v/>
      </c>
    </row>
    <row r="1090" spans="1:1" hidden="1" x14ac:dyDescent="0.25">
      <c r="A1090" s="1" t="str">
        <f>IF(List!K1090="","",List!K1090)</f>
        <v/>
      </c>
    </row>
    <row r="1091" spans="1:1" hidden="1" x14ac:dyDescent="0.25">
      <c r="A1091" s="1" t="str">
        <f>IF(List!K1091="","",List!K1091)</f>
        <v/>
      </c>
    </row>
    <row r="1092" spans="1:1" hidden="1" x14ac:dyDescent="0.25">
      <c r="A1092" s="1" t="str">
        <f>IF(List!K1092="","",List!K1092)</f>
        <v/>
      </c>
    </row>
    <row r="1093" spans="1:1" hidden="1" x14ac:dyDescent="0.25">
      <c r="A1093" s="1" t="str">
        <f>IF(List!K1093="","",List!K1093)</f>
        <v/>
      </c>
    </row>
    <row r="1094" spans="1:1" hidden="1" x14ac:dyDescent="0.25">
      <c r="A1094" s="1" t="str">
        <f>IF(List!K1094="","",List!K1094)</f>
        <v/>
      </c>
    </row>
    <row r="1095" spans="1:1" hidden="1" x14ac:dyDescent="0.25">
      <c r="A1095" s="1" t="str">
        <f>IF(List!K1095="","",List!K1095)</f>
        <v/>
      </c>
    </row>
    <row r="1096" spans="1:1" hidden="1" x14ac:dyDescent="0.25">
      <c r="A1096" s="1" t="str">
        <f>IF(List!K1096="","",List!K1096)</f>
        <v/>
      </c>
    </row>
    <row r="1097" spans="1:1" hidden="1" x14ac:dyDescent="0.25">
      <c r="A1097" s="1" t="str">
        <f>IF(List!K1097="","",List!K1097)</f>
        <v/>
      </c>
    </row>
    <row r="1098" spans="1:1" hidden="1" x14ac:dyDescent="0.25">
      <c r="A1098" s="1" t="str">
        <f>IF(List!K1098="","",List!K1098)</f>
        <v/>
      </c>
    </row>
    <row r="1099" spans="1:1" hidden="1" x14ac:dyDescent="0.25">
      <c r="A1099" s="1" t="str">
        <f>IF(List!K1099="","",List!K1099)</f>
        <v/>
      </c>
    </row>
    <row r="1100" spans="1:1" hidden="1" x14ac:dyDescent="0.25">
      <c r="A1100" s="1" t="str">
        <f>IF(List!K1100="","",List!K1100)</f>
        <v/>
      </c>
    </row>
    <row r="1101" spans="1:1" hidden="1" x14ac:dyDescent="0.25">
      <c r="A1101" s="1" t="str">
        <f>IF(List!K1101="","",List!K1101)</f>
        <v/>
      </c>
    </row>
    <row r="1102" spans="1:1" hidden="1" x14ac:dyDescent="0.25">
      <c r="A1102" s="1" t="str">
        <f>IF(List!K1102="","",List!K1102)</f>
        <v/>
      </c>
    </row>
    <row r="1103" spans="1:1" hidden="1" x14ac:dyDescent="0.25">
      <c r="A1103" s="1" t="str">
        <f>IF(List!K1103="","",List!K1103)</f>
        <v/>
      </c>
    </row>
    <row r="1104" spans="1:1" hidden="1" x14ac:dyDescent="0.25">
      <c r="A1104" s="1" t="str">
        <f>IF(List!K1104="","",List!K1104)</f>
        <v/>
      </c>
    </row>
    <row r="1105" spans="1:1" hidden="1" x14ac:dyDescent="0.25">
      <c r="A1105" s="1" t="str">
        <f>IF(List!K1105="","",List!K1105)</f>
        <v/>
      </c>
    </row>
    <row r="1106" spans="1:1" hidden="1" x14ac:dyDescent="0.25">
      <c r="A1106" s="1" t="str">
        <f>IF(List!K1106="","",List!K1106)</f>
        <v/>
      </c>
    </row>
    <row r="1107" spans="1:1" hidden="1" x14ac:dyDescent="0.25">
      <c r="A1107" s="1" t="str">
        <f>IF(List!K1107="","",List!K1107)</f>
        <v/>
      </c>
    </row>
    <row r="1108" spans="1:1" hidden="1" x14ac:dyDescent="0.25">
      <c r="A1108" s="1" t="str">
        <f>IF(List!K1108="","",List!K1108)</f>
        <v/>
      </c>
    </row>
    <row r="1109" spans="1:1" hidden="1" x14ac:dyDescent="0.25">
      <c r="A1109" s="1" t="str">
        <f>IF(List!K1109="","",List!K1109)</f>
        <v/>
      </c>
    </row>
    <row r="1110" spans="1:1" hidden="1" x14ac:dyDescent="0.25">
      <c r="A1110" s="1" t="str">
        <f>IF(List!K1110="","",List!K1110)</f>
        <v/>
      </c>
    </row>
    <row r="1111" spans="1:1" hidden="1" x14ac:dyDescent="0.25">
      <c r="A1111" s="1" t="str">
        <f>IF(List!K1111="","",List!K1111)</f>
        <v/>
      </c>
    </row>
    <row r="1112" spans="1:1" hidden="1" x14ac:dyDescent="0.25">
      <c r="A1112" s="1" t="str">
        <f>IF(List!K1112="","",List!K1112)</f>
        <v/>
      </c>
    </row>
    <row r="1113" spans="1:1" hidden="1" x14ac:dyDescent="0.25">
      <c r="A1113" s="1" t="str">
        <f>IF(List!K1113="","",List!K1113)</f>
        <v/>
      </c>
    </row>
    <row r="1114" spans="1:1" hidden="1" x14ac:dyDescent="0.25">
      <c r="A1114" s="1" t="str">
        <f>IF(List!K1114="","",List!K1114)</f>
        <v/>
      </c>
    </row>
    <row r="1115" spans="1:1" hidden="1" x14ac:dyDescent="0.25">
      <c r="A1115" s="1" t="str">
        <f>IF(List!K1115="","",List!K1115)</f>
        <v/>
      </c>
    </row>
    <row r="1116" spans="1:1" hidden="1" x14ac:dyDescent="0.25">
      <c r="A1116" s="1" t="str">
        <f>IF(List!K1116="","",List!K1116)</f>
        <v/>
      </c>
    </row>
    <row r="1117" spans="1:1" hidden="1" x14ac:dyDescent="0.25">
      <c r="A1117" s="1" t="str">
        <f>IF(List!K1117="","",List!K1117)</f>
        <v/>
      </c>
    </row>
    <row r="1118" spans="1:1" hidden="1" x14ac:dyDescent="0.25">
      <c r="A1118" s="1" t="str">
        <f>IF(List!K1118="","",List!K1118)</f>
        <v/>
      </c>
    </row>
    <row r="1119" spans="1:1" hidden="1" x14ac:dyDescent="0.25">
      <c r="A1119" s="1" t="str">
        <f>IF(List!K1119="","",List!K1119)</f>
        <v/>
      </c>
    </row>
    <row r="1120" spans="1:1" hidden="1" x14ac:dyDescent="0.25">
      <c r="A1120" s="1" t="str">
        <f>IF(List!K1120="","",List!K1120)</f>
        <v/>
      </c>
    </row>
    <row r="1121" spans="1:1" hidden="1" x14ac:dyDescent="0.25">
      <c r="A1121" s="1" t="str">
        <f>IF(List!K1121="","",List!K1121)</f>
        <v/>
      </c>
    </row>
    <row r="1122" spans="1:1" hidden="1" x14ac:dyDescent="0.25">
      <c r="A1122" s="1" t="str">
        <f>IF(List!K1122="","",List!K1122)</f>
        <v/>
      </c>
    </row>
    <row r="1123" spans="1:1" hidden="1" x14ac:dyDescent="0.25">
      <c r="A1123" s="1" t="str">
        <f>IF(List!K1123="","",List!K1123)</f>
        <v/>
      </c>
    </row>
    <row r="1124" spans="1:1" hidden="1" x14ac:dyDescent="0.25">
      <c r="A1124" s="1" t="str">
        <f>IF(List!K1124="","",List!K1124)</f>
        <v/>
      </c>
    </row>
    <row r="1125" spans="1:1" hidden="1" x14ac:dyDescent="0.25">
      <c r="A1125" s="1" t="str">
        <f>IF(List!K1125="","",List!K1125)</f>
        <v/>
      </c>
    </row>
    <row r="1126" spans="1:1" hidden="1" x14ac:dyDescent="0.25">
      <c r="A1126" s="1" t="str">
        <f>IF(List!K1126="","",List!K1126)</f>
        <v/>
      </c>
    </row>
    <row r="1127" spans="1:1" hidden="1" x14ac:dyDescent="0.25">
      <c r="A1127" s="1" t="str">
        <f>IF(List!K1127="","",List!K1127)</f>
        <v/>
      </c>
    </row>
    <row r="1128" spans="1:1" hidden="1" x14ac:dyDescent="0.25">
      <c r="A1128" s="1" t="str">
        <f>IF(List!K1128="","",List!K1128)</f>
        <v/>
      </c>
    </row>
    <row r="1129" spans="1:1" hidden="1" x14ac:dyDescent="0.25">
      <c r="A1129" s="1" t="str">
        <f>IF(List!K1129="","",List!K1129)</f>
        <v/>
      </c>
    </row>
    <row r="1130" spans="1:1" hidden="1" x14ac:dyDescent="0.25">
      <c r="A1130" s="1" t="str">
        <f>IF(List!K1130="","",List!K1130)</f>
        <v/>
      </c>
    </row>
    <row r="1131" spans="1:1" hidden="1" x14ac:dyDescent="0.25">
      <c r="A1131" s="1" t="str">
        <f>IF(List!K1131="","",List!K1131)</f>
        <v/>
      </c>
    </row>
    <row r="1132" spans="1:1" hidden="1" x14ac:dyDescent="0.25">
      <c r="A1132" s="1" t="str">
        <f>IF(List!K1132="","",List!K1132)</f>
        <v/>
      </c>
    </row>
    <row r="1133" spans="1:1" hidden="1" x14ac:dyDescent="0.25">
      <c r="A1133" s="1" t="str">
        <f>IF(List!K1133="","",List!K1133)</f>
        <v/>
      </c>
    </row>
    <row r="1134" spans="1:1" hidden="1" x14ac:dyDescent="0.25">
      <c r="A1134" s="1" t="str">
        <f>IF(List!K1134="","",List!K1134)</f>
        <v/>
      </c>
    </row>
    <row r="1135" spans="1:1" hidden="1" x14ac:dyDescent="0.25">
      <c r="A1135" s="1" t="str">
        <f>IF(List!K1135="","",List!K1135)</f>
        <v/>
      </c>
    </row>
    <row r="1136" spans="1:1" hidden="1" x14ac:dyDescent="0.25">
      <c r="A1136" s="1" t="str">
        <f>IF(List!K1136="","",List!K1136)</f>
        <v/>
      </c>
    </row>
    <row r="1137" spans="1:1" hidden="1" x14ac:dyDescent="0.25">
      <c r="A1137" s="1" t="str">
        <f>IF(List!K1137="","",List!K1137)</f>
        <v/>
      </c>
    </row>
    <row r="1138" spans="1:1" hidden="1" x14ac:dyDescent="0.25">
      <c r="A1138" s="1" t="str">
        <f>IF(List!K1138="","",List!K1138)</f>
        <v/>
      </c>
    </row>
    <row r="1139" spans="1:1" hidden="1" x14ac:dyDescent="0.25">
      <c r="A1139" s="1" t="str">
        <f>IF(List!K1139="","",List!K1139)</f>
        <v/>
      </c>
    </row>
    <row r="1140" spans="1:1" hidden="1" x14ac:dyDescent="0.25">
      <c r="A1140" s="1" t="str">
        <f>IF(List!K1140="","",List!K1140)</f>
        <v/>
      </c>
    </row>
    <row r="1141" spans="1:1" hidden="1" x14ac:dyDescent="0.25">
      <c r="A1141" s="1" t="str">
        <f>IF(List!K1141="","",List!K1141)</f>
        <v/>
      </c>
    </row>
    <row r="1142" spans="1:1" hidden="1" x14ac:dyDescent="0.25">
      <c r="A1142" s="1" t="str">
        <f>IF(List!K1142="","",List!K1142)</f>
        <v/>
      </c>
    </row>
    <row r="1143" spans="1:1" hidden="1" x14ac:dyDescent="0.25">
      <c r="A1143" s="1" t="str">
        <f>IF(List!K1143="","",List!K1143)</f>
        <v/>
      </c>
    </row>
    <row r="1144" spans="1:1" hidden="1" x14ac:dyDescent="0.25">
      <c r="A1144" s="1" t="str">
        <f>IF(List!K1144="","",List!K1144)</f>
        <v/>
      </c>
    </row>
    <row r="1145" spans="1:1" hidden="1" x14ac:dyDescent="0.25">
      <c r="A1145" s="1" t="str">
        <f>IF(List!K1145="","",List!K1145)</f>
        <v/>
      </c>
    </row>
    <row r="1146" spans="1:1" hidden="1" x14ac:dyDescent="0.25">
      <c r="A1146" s="1" t="str">
        <f>IF(List!K1146="","",List!K1146)</f>
        <v/>
      </c>
    </row>
    <row r="1147" spans="1:1" hidden="1" x14ac:dyDescent="0.25">
      <c r="A1147" s="1" t="str">
        <f>IF(List!K1147="","",List!K1147)</f>
        <v/>
      </c>
    </row>
    <row r="1148" spans="1:1" hidden="1" x14ac:dyDescent="0.25">
      <c r="A1148" s="1" t="str">
        <f>IF(List!K1148="","",List!K1148)</f>
        <v/>
      </c>
    </row>
    <row r="1149" spans="1:1" hidden="1" x14ac:dyDescent="0.25">
      <c r="A1149" s="1" t="str">
        <f>IF(List!K1149="","",List!K1149)</f>
        <v/>
      </c>
    </row>
    <row r="1150" spans="1:1" hidden="1" x14ac:dyDescent="0.25">
      <c r="A1150" s="1" t="str">
        <f>IF(List!K1150="","",List!K1150)</f>
        <v/>
      </c>
    </row>
    <row r="1151" spans="1:1" hidden="1" x14ac:dyDescent="0.25">
      <c r="A1151" s="1" t="str">
        <f>IF(List!K1151="","",List!K1151)</f>
        <v/>
      </c>
    </row>
    <row r="1152" spans="1:1" hidden="1" x14ac:dyDescent="0.25">
      <c r="A1152" s="1" t="str">
        <f>IF(List!K1152="","",List!K1152)</f>
        <v/>
      </c>
    </row>
    <row r="1153" spans="1:1" hidden="1" x14ac:dyDescent="0.25">
      <c r="A1153" s="1" t="str">
        <f>IF(List!K1153="","",List!K1153)</f>
        <v/>
      </c>
    </row>
    <row r="1154" spans="1:1" hidden="1" x14ac:dyDescent="0.25">
      <c r="A1154" s="1" t="str">
        <f>IF(List!K1154="","",List!K1154)</f>
        <v/>
      </c>
    </row>
    <row r="1155" spans="1:1" hidden="1" x14ac:dyDescent="0.25">
      <c r="A1155" s="1" t="str">
        <f>IF(List!K1155="","",List!K1155)</f>
        <v/>
      </c>
    </row>
    <row r="1156" spans="1:1" hidden="1" x14ac:dyDescent="0.25">
      <c r="A1156" s="1" t="str">
        <f>IF(List!K1156="","",List!K1156)</f>
        <v/>
      </c>
    </row>
    <row r="1157" spans="1:1" hidden="1" x14ac:dyDescent="0.25">
      <c r="A1157" s="1" t="str">
        <f>IF(List!K1157="","",List!K1157)</f>
        <v/>
      </c>
    </row>
    <row r="1158" spans="1:1" hidden="1" x14ac:dyDescent="0.25">
      <c r="A1158" s="1" t="str">
        <f>IF(List!K1158="","",List!K1158)</f>
        <v/>
      </c>
    </row>
    <row r="1159" spans="1:1" hidden="1" x14ac:dyDescent="0.25">
      <c r="A1159" s="1" t="str">
        <f>IF(List!K1159="","",List!K1159)</f>
        <v/>
      </c>
    </row>
    <row r="1160" spans="1:1" hidden="1" x14ac:dyDescent="0.25">
      <c r="A1160" s="1" t="str">
        <f>IF(List!K1160="","",List!K1160)</f>
        <v/>
      </c>
    </row>
    <row r="1161" spans="1:1" hidden="1" x14ac:dyDescent="0.25">
      <c r="A1161" s="1" t="str">
        <f>IF(List!K1161="","",List!K1161)</f>
        <v/>
      </c>
    </row>
    <row r="1162" spans="1:1" hidden="1" x14ac:dyDescent="0.25">
      <c r="A1162" s="1" t="str">
        <f>IF(List!K1162="","",List!K1162)</f>
        <v/>
      </c>
    </row>
    <row r="1163" spans="1:1" hidden="1" x14ac:dyDescent="0.25">
      <c r="A1163" s="1" t="str">
        <f>IF(List!K1163="","",List!K1163)</f>
        <v/>
      </c>
    </row>
    <row r="1164" spans="1:1" hidden="1" x14ac:dyDescent="0.25">
      <c r="A1164" s="1" t="str">
        <f>IF(List!K1164="","",List!K1164)</f>
        <v/>
      </c>
    </row>
    <row r="1165" spans="1:1" hidden="1" x14ac:dyDescent="0.25">
      <c r="A1165" s="1" t="str">
        <f>IF(List!K1165="","",List!K1165)</f>
        <v/>
      </c>
    </row>
    <row r="1166" spans="1:1" hidden="1" x14ac:dyDescent="0.25">
      <c r="A1166" s="1" t="str">
        <f>IF(List!K1166="","",List!K1166)</f>
        <v/>
      </c>
    </row>
    <row r="1167" spans="1:1" hidden="1" x14ac:dyDescent="0.25">
      <c r="A1167" s="1" t="str">
        <f>IF(List!K1167="","",List!K1167)</f>
        <v/>
      </c>
    </row>
    <row r="1168" spans="1:1" hidden="1" x14ac:dyDescent="0.25">
      <c r="A1168" s="1" t="str">
        <f>IF(List!K1168="","",List!K1168)</f>
        <v/>
      </c>
    </row>
    <row r="1169" spans="1:1" hidden="1" x14ac:dyDescent="0.25">
      <c r="A1169" s="1" t="str">
        <f>IF(List!K1169="","",List!K1169)</f>
        <v/>
      </c>
    </row>
    <row r="1170" spans="1:1" hidden="1" x14ac:dyDescent="0.25">
      <c r="A1170" s="1" t="str">
        <f>IF(List!K1170="","",List!K1170)</f>
        <v/>
      </c>
    </row>
    <row r="1171" spans="1:1" hidden="1" x14ac:dyDescent="0.25">
      <c r="A1171" s="1" t="str">
        <f>IF(List!K1171="","",List!K1171)</f>
        <v/>
      </c>
    </row>
    <row r="1172" spans="1:1" hidden="1" x14ac:dyDescent="0.25">
      <c r="A1172" s="1" t="str">
        <f>IF(List!K1172="","",List!K1172)</f>
        <v/>
      </c>
    </row>
    <row r="1173" spans="1:1" hidden="1" x14ac:dyDescent="0.25">
      <c r="A1173" s="1" t="str">
        <f>IF(List!K1173="","",List!K1173)</f>
        <v/>
      </c>
    </row>
    <row r="1174" spans="1:1" hidden="1" x14ac:dyDescent="0.25">
      <c r="A1174" s="1" t="str">
        <f>IF(List!K1174="","",List!K1174)</f>
        <v/>
      </c>
    </row>
    <row r="1175" spans="1:1" hidden="1" x14ac:dyDescent="0.25">
      <c r="A1175" s="1" t="str">
        <f>IF(List!K1175="","",List!K1175)</f>
        <v/>
      </c>
    </row>
    <row r="1176" spans="1:1" hidden="1" x14ac:dyDescent="0.25">
      <c r="A1176" s="1" t="str">
        <f>IF(List!K1176="","",List!K1176)</f>
        <v/>
      </c>
    </row>
    <row r="1177" spans="1:1" hidden="1" x14ac:dyDescent="0.25">
      <c r="A1177" s="1" t="str">
        <f>IF(List!K1177="","",List!K1177)</f>
        <v/>
      </c>
    </row>
    <row r="1178" spans="1:1" hidden="1" x14ac:dyDescent="0.25">
      <c r="A1178" s="1" t="str">
        <f>IF(List!K1178="","",List!K1178)</f>
        <v/>
      </c>
    </row>
    <row r="1179" spans="1:1" hidden="1" x14ac:dyDescent="0.25">
      <c r="A1179" s="1" t="str">
        <f>IF(List!K1179="","",List!K1179)</f>
        <v/>
      </c>
    </row>
    <row r="1180" spans="1:1" hidden="1" x14ac:dyDescent="0.25">
      <c r="A1180" s="1" t="str">
        <f>IF(List!K1180="","",List!K1180)</f>
        <v/>
      </c>
    </row>
    <row r="1181" spans="1:1" hidden="1" x14ac:dyDescent="0.25">
      <c r="A1181" s="1" t="str">
        <f>IF(List!K1181="","",List!K1181)</f>
        <v/>
      </c>
    </row>
    <row r="1182" spans="1:1" hidden="1" x14ac:dyDescent="0.25">
      <c r="A1182" s="1" t="str">
        <f>IF(List!K1182="","",List!K1182)</f>
        <v/>
      </c>
    </row>
    <row r="1183" spans="1:1" hidden="1" x14ac:dyDescent="0.25">
      <c r="A1183" s="1" t="str">
        <f>IF(List!K1183="","",List!K1183)</f>
        <v/>
      </c>
    </row>
    <row r="1184" spans="1:1" hidden="1" x14ac:dyDescent="0.25">
      <c r="A1184" s="1" t="str">
        <f>IF(List!K1184="","",List!K1184)</f>
        <v/>
      </c>
    </row>
    <row r="1185" spans="1:1" hidden="1" x14ac:dyDescent="0.25">
      <c r="A1185" s="1" t="str">
        <f>IF(List!K1185="","",List!K1185)</f>
        <v/>
      </c>
    </row>
    <row r="1186" spans="1:1" hidden="1" x14ac:dyDescent="0.25">
      <c r="A1186" s="1" t="str">
        <f>IF(List!K1186="","",List!K1186)</f>
        <v/>
      </c>
    </row>
    <row r="1187" spans="1:1" hidden="1" x14ac:dyDescent="0.25">
      <c r="A1187" s="1" t="str">
        <f>IF(List!K1187="","",List!K1187)</f>
        <v/>
      </c>
    </row>
    <row r="1188" spans="1:1" hidden="1" x14ac:dyDescent="0.25">
      <c r="A1188" s="1" t="str">
        <f>IF(List!K1188="","",List!K1188)</f>
        <v/>
      </c>
    </row>
    <row r="1189" spans="1:1" hidden="1" x14ac:dyDescent="0.25">
      <c r="A1189" s="1" t="str">
        <f>IF(List!K1189="","",List!K1189)</f>
        <v/>
      </c>
    </row>
    <row r="1190" spans="1:1" hidden="1" x14ac:dyDescent="0.25">
      <c r="A1190" s="1" t="str">
        <f>IF(List!K1190="","",List!K1190)</f>
        <v/>
      </c>
    </row>
    <row r="1191" spans="1:1" hidden="1" x14ac:dyDescent="0.25">
      <c r="A1191" s="1" t="str">
        <f>IF(List!K1191="","",List!K1191)</f>
        <v/>
      </c>
    </row>
    <row r="1192" spans="1:1" hidden="1" x14ac:dyDescent="0.25">
      <c r="A1192" s="1" t="str">
        <f>IF(List!K1192="","",List!K1192)</f>
        <v/>
      </c>
    </row>
    <row r="1193" spans="1:1" hidden="1" x14ac:dyDescent="0.25">
      <c r="A1193" s="1" t="str">
        <f>IF(List!K1193="","",List!K1193)</f>
        <v/>
      </c>
    </row>
    <row r="1194" spans="1:1" hidden="1" x14ac:dyDescent="0.25">
      <c r="A1194" s="1" t="str">
        <f>IF(List!K1194="","",List!K1194)</f>
        <v/>
      </c>
    </row>
    <row r="1195" spans="1:1" hidden="1" x14ac:dyDescent="0.25">
      <c r="A1195" s="1" t="str">
        <f>IF(List!K1195="","",List!K1195)</f>
        <v/>
      </c>
    </row>
    <row r="1196" spans="1:1" hidden="1" x14ac:dyDescent="0.25">
      <c r="A1196" s="1" t="str">
        <f>IF(List!K1196="","",List!K1196)</f>
        <v/>
      </c>
    </row>
    <row r="1197" spans="1:1" hidden="1" x14ac:dyDescent="0.25">
      <c r="A1197" s="1" t="str">
        <f>IF(List!K1197="","",List!K1197)</f>
        <v/>
      </c>
    </row>
    <row r="1198" spans="1:1" hidden="1" x14ac:dyDescent="0.25">
      <c r="A1198" s="1" t="str">
        <f>IF(List!K1198="","",List!K1198)</f>
        <v/>
      </c>
    </row>
    <row r="1199" spans="1:1" hidden="1" x14ac:dyDescent="0.25">
      <c r="A1199" s="1" t="str">
        <f>IF(List!K1199="","",List!K1199)</f>
        <v/>
      </c>
    </row>
    <row r="1200" spans="1:1" hidden="1" x14ac:dyDescent="0.25">
      <c r="A1200" s="1" t="str">
        <f>IF(List!K1200="","",List!K1200)</f>
        <v/>
      </c>
    </row>
    <row r="1201" spans="1:1" hidden="1" x14ac:dyDescent="0.25">
      <c r="A1201" s="1" t="str">
        <f>IF(List!K1201="","",List!K1201)</f>
        <v/>
      </c>
    </row>
    <row r="1202" spans="1:1" hidden="1" x14ac:dyDescent="0.25">
      <c r="A1202" s="1" t="str">
        <f>IF(List!K1202="","",List!K1202)</f>
        <v/>
      </c>
    </row>
    <row r="1203" spans="1:1" hidden="1" x14ac:dyDescent="0.25">
      <c r="A1203" s="1" t="str">
        <f>IF(List!K1203="","",List!K1203)</f>
        <v/>
      </c>
    </row>
    <row r="1204" spans="1:1" hidden="1" x14ac:dyDescent="0.25">
      <c r="A1204" s="1" t="str">
        <f>IF(List!K1204="","",List!K1204)</f>
        <v/>
      </c>
    </row>
    <row r="1205" spans="1:1" hidden="1" x14ac:dyDescent="0.25">
      <c r="A1205" s="1" t="str">
        <f>IF(List!K1205="","",List!K1205)</f>
        <v/>
      </c>
    </row>
    <row r="1206" spans="1:1" hidden="1" x14ac:dyDescent="0.25">
      <c r="A1206" s="1" t="str">
        <f>IF(List!K1206="","",List!K1206)</f>
        <v/>
      </c>
    </row>
    <row r="1207" spans="1:1" hidden="1" x14ac:dyDescent="0.25">
      <c r="A1207" s="1" t="str">
        <f>IF(List!K1207="","",List!K1207)</f>
        <v/>
      </c>
    </row>
    <row r="1208" spans="1:1" hidden="1" x14ac:dyDescent="0.25">
      <c r="A1208" s="1" t="str">
        <f>IF(List!K1208="","",List!K1208)</f>
        <v/>
      </c>
    </row>
    <row r="1209" spans="1:1" hidden="1" x14ac:dyDescent="0.25">
      <c r="A1209" s="1" t="str">
        <f>IF(List!K1209="","",List!K1209)</f>
        <v/>
      </c>
    </row>
    <row r="1210" spans="1:1" hidden="1" x14ac:dyDescent="0.25">
      <c r="A1210" s="1" t="str">
        <f>IF(List!K1210="","",List!K1210)</f>
        <v/>
      </c>
    </row>
    <row r="1211" spans="1:1" hidden="1" x14ac:dyDescent="0.25">
      <c r="A1211" s="1" t="str">
        <f>IF(List!K1211="","",List!K1211)</f>
        <v/>
      </c>
    </row>
    <row r="1212" spans="1:1" hidden="1" x14ac:dyDescent="0.25">
      <c r="A1212" s="1" t="str">
        <f>IF(List!K1212="","",List!K1212)</f>
        <v/>
      </c>
    </row>
    <row r="1213" spans="1:1" hidden="1" x14ac:dyDescent="0.25">
      <c r="A1213" s="1" t="str">
        <f>IF(List!K1213="","",List!K1213)</f>
        <v/>
      </c>
    </row>
    <row r="1214" spans="1:1" hidden="1" x14ac:dyDescent="0.25">
      <c r="A1214" s="1" t="str">
        <f>IF(List!K1214="","",List!K1214)</f>
        <v/>
      </c>
    </row>
    <row r="1215" spans="1:1" hidden="1" x14ac:dyDescent="0.25">
      <c r="A1215" s="1" t="str">
        <f>IF(List!K1215="","",List!K1215)</f>
        <v/>
      </c>
    </row>
    <row r="1216" spans="1:1" hidden="1" x14ac:dyDescent="0.25">
      <c r="A1216" s="1" t="str">
        <f>IF(List!K1216="","",List!K1216)</f>
        <v/>
      </c>
    </row>
    <row r="1217" spans="1:1" hidden="1" x14ac:dyDescent="0.25">
      <c r="A1217" s="1" t="str">
        <f>IF(List!K1217="","",List!K1217)</f>
        <v/>
      </c>
    </row>
    <row r="1218" spans="1:1" hidden="1" x14ac:dyDescent="0.25">
      <c r="A1218" s="1" t="str">
        <f>IF(List!K1218="","",List!K1218)</f>
        <v/>
      </c>
    </row>
    <row r="1219" spans="1:1" hidden="1" x14ac:dyDescent="0.25">
      <c r="A1219" s="1" t="str">
        <f>IF(List!K1219="","",List!K1219)</f>
        <v/>
      </c>
    </row>
    <row r="1220" spans="1:1" hidden="1" x14ac:dyDescent="0.25">
      <c r="A1220" s="1" t="str">
        <f>IF(List!K1220="","",List!K1220)</f>
        <v/>
      </c>
    </row>
    <row r="1221" spans="1:1" hidden="1" x14ac:dyDescent="0.25">
      <c r="A1221" s="1" t="str">
        <f>IF(List!K1221="","",List!K1221)</f>
        <v/>
      </c>
    </row>
    <row r="1222" spans="1:1" hidden="1" x14ac:dyDescent="0.25">
      <c r="A1222" s="1" t="str">
        <f>IF(List!K1222="","",List!K1222)</f>
        <v/>
      </c>
    </row>
    <row r="1223" spans="1:1" hidden="1" x14ac:dyDescent="0.25">
      <c r="A1223" s="1" t="str">
        <f>IF(List!K1223="","",List!K1223)</f>
        <v/>
      </c>
    </row>
    <row r="1224" spans="1:1" hidden="1" x14ac:dyDescent="0.25">
      <c r="A1224" s="1" t="str">
        <f>IF(List!K1224="","",List!K1224)</f>
        <v/>
      </c>
    </row>
    <row r="1225" spans="1:1" hidden="1" x14ac:dyDescent="0.25">
      <c r="A1225" s="1" t="str">
        <f>IF(List!K1225="","",List!K1225)</f>
        <v/>
      </c>
    </row>
    <row r="1226" spans="1:1" hidden="1" x14ac:dyDescent="0.25">
      <c r="A1226" s="1" t="str">
        <f>IF(List!K1226="","",List!K1226)</f>
        <v/>
      </c>
    </row>
    <row r="1227" spans="1:1" hidden="1" x14ac:dyDescent="0.25">
      <c r="A1227" s="1" t="str">
        <f>IF(List!K1227="","",List!K1227)</f>
        <v/>
      </c>
    </row>
    <row r="1228" spans="1:1" hidden="1" x14ac:dyDescent="0.25">
      <c r="A1228" s="1" t="str">
        <f>IF(List!K1228="","",List!K1228)</f>
        <v/>
      </c>
    </row>
    <row r="1229" spans="1:1" hidden="1" x14ac:dyDescent="0.25">
      <c r="A1229" s="1" t="str">
        <f>IF(List!K1229="","",List!K1229)</f>
        <v/>
      </c>
    </row>
    <row r="1230" spans="1:1" hidden="1" x14ac:dyDescent="0.25">
      <c r="A1230" s="1" t="str">
        <f>IF(List!K1230="","",List!K1230)</f>
        <v/>
      </c>
    </row>
    <row r="1231" spans="1:1" hidden="1" x14ac:dyDescent="0.25">
      <c r="A1231" s="1" t="str">
        <f>IF(List!K1231="","",List!K1231)</f>
        <v/>
      </c>
    </row>
    <row r="1232" spans="1:1" hidden="1" x14ac:dyDescent="0.25">
      <c r="A1232" s="1" t="str">
        <f>IF(List!K1232="","",List!K1232)</f>
        <v/>
      </c>
    </row>
    <row r="1233" spans="1:1" hidden="1" x14ac:dyDescent="0.25">
      <c r="A1233" s="1" t="str">
        <f>IF(List!K1233="","",List!K1233)</f>
        <v/>
      </c>
    </row>
    <row r="1234" spans="1:1" hidden="1" x14ac:dyDescent="0.25">
      <c r="A1234" s="1" t="str">
        <f>IF(List!K1234="","",List!K1234)</f>
        <v/>
      </c>
    </row>
    <row r="1235" spans="1:1" hidden="1" x14ac:dyDescent="0.25">
      <c r="A1235" s="1" t="str">
        <f>IF(List!K1235="","",List!K1235)</f>
        <v/>
      </c>
    </row>
    <row r="1236" spans="1:1" hidden="1" x14ac:dyDescent="0.25">
      <c r="A1236" s="1" t="str">
        <f>IF(List!K1236="","",List!K1236)</f>
        <v/>
      </c>
    </row>
    <row r="1237" spans="1:1" hidden="1" x14ac:dyDescent="0.25">
      <c r="A1237" s="1" t="str">
        <f>IF(List!K1237="","",List!K1237)</f>
        <v/>
      </c>
    </row>
    <row r="1238" spans="1:1" hidden="1" x14ac:dyDescent="0.25">
      <c r="A1238" s="1" t="str">
        <f>IF(List!K1238="","",List!K1238)</f>
        <v/>
      </c>
    </row>
    <row r="1239" spans="1:1" hidden="1" x14ac:dyDescent="0.25">
      <c r="A1239" s="1" t="str">
        <f>IF(List!K1239="","",List!K1239)</f>
        <v/>
      </c>
    </row>
    <row r="1240" spans="1:1" hidden="1" x14ac:dyDescent="0.25">
      <c r="A1240" s="1" t="str">
        <f>IF(List!K1240="","",List!K1240)</f>
        <v/>
      </c>
    </row>
    <row r="1241" spans="1:1" hidden="1" x14ac:dyDescent="0.25">
      <c r="A1241" s="1" t="str">
        <f>IF(List!K1241="","",List!K1241)</f>
        <v/>
      </c>
    </row>
    <row r="1242" spans="1:1" hidden="1" x14ac:dyDescent="0.25">
      <c r="A1242" s="1" t="str">
        <f>IF(List!K1242="","",List!K1242)</f>
        <v/>
      </c>
    </row>
    <row r="1243" spans="1:1" hidden="1" x14ac:dyDescent="0.25">
      <c r="A1243" s="1" t="str">
        <f>IF(List!K1243="","",List!K1243)</f>
        <v/>
      </c>
    </row>
    <row r="1244" spans="1:1" hidden="1" x14ac:dyDescent="0.25">
      <c r="A1244" s="1" t="str">
        <f>IF(List!K1244="","",List!K1244)</f>
        <v/>
      </c>
    </row>
    <row r="1245" spans="1:1" hidden="1" x14ac:dyDescent="0.25">
      <c r="A1245" s="1" t="str">
        <f>IF(List!K1245="","",List!K1245)</f>
        <v/>
      </c>
    </row>
    <row r="1246" spans="1:1" hidden="1" x14ac:dyDescent="0.25">
      <c r="A1246" s="1" t="str">
        <f>IF(List!K1246="","",List!K1246)</f>
        <v/>
      </c>
    </row>
    <row r="1247" spans="1:1" hidden="1" x14ac:dyDescent="0.25">
      <c r="A1247" s="1" t="str">
        <f>IF(List!K1247="","",List!K1247)</f>
        <v/>
      </c>
    </row>
    <row r="1248" spans="1:1" hidden="1" x14ac:dyDescent="0.25">
      <c r="A1248" s="1" t="str">
        <f>IF(List!K1248="","",List!K1248)</f>
        <v/>
      </c>
    </row>
    <row r="1249" spans="1:1" hidden="1" x14ac:dyDescent="0.25">
      <c r="A1249" s="1" t="str">
        <f>IF(List!K1249="","",List!K1249)</f>
        <v/>
      </c>
    </row>
    <row r="1250" spans="1:1" hidden="1" x14ac:dyDescent="0.25">
      <c r="A1250" s="1" t="str">
        <f>IF(List!K1250="","",List!K1250)</f>
        <v/>
      </c>
    </row>
    <row r="1251" spans="1:1" hidden="1" x14ac:dyDescent="0.25">
      <c r="A1251" s="1" t="str">
        <f>IF(List!K1251="","",List!K1251)</f>
        <v/>
      </c>
    </row>
    <row r="1252" spans="1:1" hidden="1" x14ac:dyDescent="0.25">
      <c r="A1252" s="1" t="str">
        <f>IF(List!K1252="","",List!K1252)</f>
        <v/>
      </c>
    </row>
    <row r="1253" spans="1:1" hidden="1" x14ac:dyDescent="0.25">
      <c r="A1253" s="1" t="str">
        <f>IF(List!K1253="","",List!K1253)</f>
        <v/>
      </c>
    </row>
    <row r="1254" spans="1:1" hidden="1" x14ac:dyDescent="0.25">
      <c r="A1254" s="1" t="str">
        <f>IF(List!K1254="","",List!K1254)</f>
        <v/>
      </c>
    </row>
    <row r="1255" spans="1:1" hidden="1" x14ac:dyDescent="0.25">
      <c r="A1255" s="1" t="str">
        <f>IF(List!K1255="","",List!K1255)</f>
        <v/>
      </c>
    </row>
    <row r="1256" spans="1:1" hidden="1" x14ac:dyDescent="0.25">
      <c r="A1256" s="1" t="str">
        <f>IF(List!K1256="","",List!K1256)</f>
        <v/>
      </c>
    </row>
    <row r="1257" spans="1:1" hidden="1" x14ac:dyDescent="0.25">
      <c r="A1257" s="1" t="str">
        <f>IF(List!K1257="","",List!K1257)</f>
        <v/>
      </c>
    </row>
    <row r="1258" spans="1:1" hidden="1" x14ac:dyDescent="0.25">
      <c r="A1258" s="1" t="str">
        <f>IF(List!K1258="","",List!K1258)</f>
        <v/>
      </c>
    </row>
    <row r="1259" spans="1:1" hidden="1" x14ac:dyDescent="0.25">
      <c r="A1259" s="1" t="str">
        <f>IF(List!K1259="","",List!K1259)</f>
        <v/>
      </c>
    </row>
    <row r="1260" spans="1:1" hidden="1" x14ac:dyDescent="0.25">
      <c r="A1260" s="1" t="str">
        <f>IF(List!K1260="","",List!K1260)</f>
        <v/>
      </c>
    </row>
    <row r="1261" spans="1:1" hidden="1" x14ac:dyDescent="0.25">
      <c r="A1261" s="1" t="str">
        <f>IF(List!K1261="","",List!K1261)</f>
        <v/>
      </c>
    </row>
    <row r="1262" spans="1:1" hidden="1" x14ac:dyDescent="0.25">
      <c r="A1262" s="1" t="str">
        <f>IF(List!K1262="","",List!K1262)</f>
        <v/>
      </c>
    </row>
    <row r="1263" spans="1:1" hidden="1" x14ac:dyDescent="0.25">
      <c r="A1263" s="1" t="str">
        <f>IF(List!K1263="","",List!K1263)</f>
        <v/>
      </c>
    </row>
    <row r="1264" spans="1:1" hidden="1" x14ac:dyDescent="0.25">
      <c r="A1264" s="1" t="str">
        <f>IF(List!K1264="","",List!K1264)</f>
        <v/>
      </c>
    </row>
    <row r="1265" spans="1:1" hidden="1" x14ac:dyDescent="0.25">
      <c r="A1265" s="1" t="str">
        <f>IF(List!K1265="","",List!K1265)</f>
        <v/>
      </c>
    </row>
    <row r="1266" spans="1:1" hidden="1" x14ac:dyDescent="0.25">
      <c r="A1266" s="1" t="str">
        <f>IF(List!K1266="","",List!K1266)</f>
        <v/>
      </c>
    </row>
    <row r="1267" spans="1:1" hidden="1" x14ac:dyDescent="0.25">
      <c r="A1267" s="1" t="str">
        <f>IF(List!K1267="","",List!K1267)</f>
        <v/>
      </c>
    </row>
    <row r="1268" spans="1:1" hidden="1" x14ac:dyDescent="0.25">
      <c r="A1268" s="1" t="str">
        <f>IF(List!K1268="","",List!K1268)</f>
        <v/>
      </c>
    </row>
    <row r="1269" spans="1:1" hidden="1" x14ac:dyDescent="0.25">
      <c r="A1269" s="1" t="str">
        <f>IF(List!K1269="","",List!K1269)</f>
        <v/>
      </c>
    </row>
    <row r="1270" spans="1:1" hidden="1" x14ac:dyDescent="0.25">
      <c r="A1270" s="1" t="str">
        <f>IF(List!K1270="","",List!K1270)</f>
        <v/>
      </c>
    </row>
    <row r="1271" spans="1:1" hidden="1" x14ac:dyDescent="0.25">
      <c r="A1271" s="1" t="str">
        <f>IF(List!K1271="","",List!K1271)</f>
        <v/>
      </c>
    </row>
    <row r="1272" spans="1:1" hidden="1" x14ac:dyDescent="0.25">
      <c r="A1272" s="1" t="str">
        <f>IF(List!K1272="","",List!K1272)</f>
        <v/>
      </c>
    </row>
    <row r="1273" spans="1:1" hidden="1" x14ac:dyDescent="0.25">
      <c r="A1273" s="1" t="str">
        <f>IF(List!K1273="","",List!K1273)</f>
        <v/>
      </c>
    </row>
    <row r="1274" spans="1:1" hidden="1" x14ac:dyDescent="0.25">
      <c r="A1274" s="1" t="str">
        <f>IF(List!K1274="","",List!K1274)</f>
        <v/>
      </c>
    </row>
    <row r="1275" spans="1:1" hidden="1" x14ac:dyDescent="0.25">
      <c r="A1275" s="1" t="str">
        <f>IF(List!K1275="","",List!K1275)</f>
        <v/>
      </c>
    </row>
    <row r="1276" spans="1:1" hidden="1" x14ac:dyDescent="0.25">
      <c r="A1276" s="1" t="str">
        <f>IF(List!K1276="","",List!K1276)</f>
        <v/>
      </c>
    </row>
    <row r="1277" spans="1:1" hidden="1" x14ac:dyDescent="0.25">
      <c r="A1277" s="1" t="str">
        <f>IF(List!K1277="","",List!K1277)</f>
        <v/>
      </c>
    </row>
    <row r="1278" spans="1:1" hidden="1" x14ac:dyDescent="0.25">
      <c r="A1278" s="1" t="str">
        <f>IF(List!K1278="","",List!K1278)</f>
        <v/>
      </c>
    </row>
    <row r="1279" spans="1:1" hidden="1" x14ac:dyDescent="0.25">
      <c r="A1279" s="1" t="str">
        <f>IF(List!K1279="","",List!K1279)</f>
        <v/>
      </c>
    </row>
    <row r="1280" spans="1:1" hidden="1" x14ac:dyDescent="0.25">
      <c r="A1280" s="1" t="str">
        <f>IF(List!K1280="","",List!K1280)</f>
        <v/>
      </c>
    </row>
    <row r="1281" spans="1:1" hidden="1" x14ac:dyDescent="0.25">
      <c r="A1281" s="1" t="str">
        <f>IF(List!K1281="","",List!K1281)</f>
        <v/>
      </c>
    </row>
    <row r="1282" spans="1:1" hidden="1" x14ac:dyDescent="0.25">
      <c r="A1282" s="1" t="str">
        <f>IF(List!K1282="","",List!K1282)</f>
        <v/>
      </c>
    </row>
    <row r="1283" spans="1:1" hidden="1" x14ac:dyDescent="0.25">
      <c r="A1283" s="1" t="str">
        <f>IF(List!K1283="","",List!K1283)</f>
        <v/>
      </c>
    </row>
    <row r="1284" spans="1:1" hidden="1" x14ac:dyDescent="0.25">
      <c r="A1284" s="1" t="str">
        <f>IF(List!K1284="","",List!K1284)</f>
        <v/>
      </c>
    </row>
    <row r="1285" spans="1:1" hidden="1" x14ac:dyDescent="0.25">
      <c r="A1285" s="1" t="str">
        <f>IF(List!K1285="","",List!K1285)</f>
        <v/>
      </c>
    </row>
    <row r="1286" spans="1:1" hidden="1" x14ac:dyDescent="0.25">
      <c r="A1286" s="1" t="str">
        <f>IF(List!K1286="","",List!K1286)</f>
        <v/>
      </c>
    </row>
    <row r="1287" spans="1:1" hidden="1" x14ac:dyDescent="0.25">
      <c r="A1287" s="1" t="str">
        <f>IF(List!K1287="","",List!K1287)</f>
        <v/>
      </c>
    </row>
    <row r="1288" spans="1:1" hidden="1" x14ac:dyDescent="0.25">
      <c r="A1288" s="1" t="str">
        <f>IF(List!K1288="","",List!K1288)</f>
        <v/>
      </c>
    </row>
    <row r="1289" spans="1:1" hidden="1" x14ac:dyDescent="0.25">
      <c r="A1289" s="1" t="str">
        <f>IF(List!K1289="","",List!K1289)</f>
        <v/>
      </c>
    </row>
    <row r="1290" spans="1:1" hidden="1" x14ac:dyDescent="0.25">
      <c r="A1290" s="1" t="str">
        <f>IF(List!K1290="","",List!K1290)</f>
        <v/>
      </c>
    </row>
    <row r="1291" spans="1:1" hidden="1" x14ac:dyDescent="0.25">
      <c r="A1291" s="1" t="str">
        <f>IF(List!K1291="","",List!K1291)</f>
        <v/>
      </c>
    </row>
    <row r="1292" spans="1:1" hidden="1" x14ac:dyDescent="0.25">
      <c r="A1292" s="1" t="str">
        <f>IF(List!K1292="","",List!K1292)</f>
        <v/>
      </c>
    </row>
    <row r="1293" spans="1:1" hidden="1" x14ac:dyDescent="0.25">
      <c r="A1293" s="1" t="str">
        <f>IF(List!K1293="","",List!K1293)</f>
        <v/>
      </c>
    </row>
    <row r="1294" spans="1:1" hidden="1" x14ac:dyDescent="0.25">
      <c r="A1294" s="1" t="str">
        <f>IF(List!K1294="","",List!K1294)</f>
        <v/>
      </c>
    </row>
    <row r="1295" spans="1:1" hidden="1" x14ac:dyDescent="0.25">
      <c r="A1295" s="1" t="str">
        <f>IF(List!K1295="","",List!K1295)</f>
        <v/>
      </c>
    </row>
    <row r="1296" spans="1:1" hidden="1" x14ac:dyDescent="0.25">
      <c r="A1296" s="1" t="str">
        <f>IF(List!K1296="","",List!K1296)</f>
        <v/>
      </c>
    </row>
    <row r="1297" spans="1:1" hidden="1" x14ac:dyDescent="0.25">
      <c r="A1297" s="1" t="str">
        <f>IF(List!K1297="","",List!K1297)</f>
        <v/>
      </c>
    </row>
    <row r="1298" spans="1:1" hidden="1" x14ac:dyDescent="0.25">
      <c r="A1298" s="1" t="str">
        <f>IF(List!K1298="","",List!K1298)</f>
        <v/>
      </c>
    </row>
    <row r="1299" spans="1:1" hidden="1" x14ac:dyDescent="0.25">
      <c r="A1299" s="1" t="str">
        <f>IF(List!K1299="","",List!K1299)</f>
        <v/>
      </c>
    </row>
    <row r="1300" spans="1:1" hidden="1" x14ac:dyDescent="0.25">
      <c r="A1300" s="1" t="str">
        <f>IF(List!K1300="","",List!K1300)</f>
        <v/>
      </c>
    </row>
    <row r="1301" spans="1:1" hidden="1" x14ac:dyDescent="0.25">
      <c r="A1301" s="1" t="str">
        <f>IF(List!K1301="","",List!K1301)</f>
        <v/>
      </c>
    </row>
    <row r="1302" spans="1:1" hidden="1" x14ac:dyDescent="0.25">
      <c r="A1302" s="1" t="str">
        <f>IF(List!K1302="","",List!K1302)</f>
        <v/>
      </c>
    </row>
    <row r="1303" spans="1:1" hidden="1" x14ac:dyDescent="0.25">
      <c r="A1303" s="1" t="str">
        <f>IF(List!K1303="","",List!K1303)</f>
        <v/>
      </c>
    </row>
    <row r="1304" spans="1:1" hidden="1" x14ac:dyDescent="0.25">
      <c r="A1304" s="1" t="str">
        <f>IF(List!K1304="","",List!K1304)</f>
        <v/>
      </c>
    </row>
    <row r="1305" spans="1:1" hidden="1" x14ac:dyDescent="0.25">
      <c r="A1305" s="1" t="str">
        <f>IF(List!K1305="","",List!K1305)</f>
        <v/>
      </c>
    </row>
    <row r="1306" spans="1:1" hidden="1" x14ac:dyDescent="0.25">
      <c r="A1306" s="1" t="str">
        <f>IF(List!K1306="","",List!K1306)</f>
        <v/>
      </c>
    </row>
    <row r="1307" spans="1:1" hidden="1" x14ac:dyDescent="0.25">
      <c r="A1307" s="1" t="str">
        <f>IF(List!K1307="","",List!K1307)</f>
        <v/>
      </c>
    </row>
    <row r="1308" spans="1:1" hidden="1" x14ac:dyDescent="0.25">
      <c r="A1308" s="1" t="str">
        <f>IF(List!K1308="","",List!K1308)</f>
        <v/>
      </c>
    </row>
    <row r="1309" spans="1:1" hidden="1" x14ac:dyDescent="0.25">
      <c r="A1309" s="1" t="str">
        <f>IF(List!K1309="","",List!K1309)</f>
        <v/>
      </c>
    </row>
    <row r="1310" spans="1:1" hidden="1" x14ac:dyDescent="0.25">
      <c r="A1310" s="1" t="str">
        <f>IF(List!K1310="","",List!K1310)</f>
        <v/>
      </c>
    </row>
    <row r="1311" spans="1:1" hidden="1" x14ac:dyDescent="0.25">
      <c r="A1311" s="1" t="str">
        <f>IF(List!K1311="","",List!K1311)</f>
        <v/>
      </c>
    </row>
    <row r="1312" spans="1:1" hidden="1" x14ac:dyDescent="0.25">
      <c r="A1312" s="1" t="str">
        <f>IF(List!K1312="","",List!K1312)</f>
        <v/>
      </c>
    </row>
    <row r="1313" spans="1:1" hidden="1" x14ac:dyDescent="0.25">
      <c r="A1313" s="1" t="str">
        <f>IF(List!K1313="","",List!K1313)</f>
        <v/>
      </c>
    </row>
    <row r="1314" spans="1:1" hidden="1" x14ac:dyDescent="0.25">
      <c r="A1314" s="1" t="str">
        <f>IF(List!K1314="","",List!K1314)</f>
        <v/>
      </c>
    </row>
    <row r="1315" spans="1:1" hidden="1" x14ac:dyDescent="0.25">
      <c r="A1315" s="1" t="str">
        <f>IF(List!K1315="","",List!K1315)</f>
        <v/>
      </c>
    </row>
    <row r="1316" spans="1:1" hidden="1" x14ac:dyDescent="0.25">
      <c r="A1316" s="1" t="str">
        <f>IF(List!K1316="","",List!K1316)</f>
        <v/>
      </c>
    </row>
    <row r="1317" spans="1:1" hidden="1" x14ac:dyDescent="0.25">
      <c r="A1317" s="1" t="str">
        <f>IF(List!K1317="","",List!K1317)</f>
        <v/>
      </c>
    </row>
    <row r="1318" spans="1:1" hidden="1" x14ac:dyDescent="0.25">
      <c r="A1318" s="1" t="str">
        <f>IF(List!K1318="","",List!K1318)</f>
        <v/>
      </c>
    </row>
    <row r="1319" spans="1:1" hidden="1" x14ac:dyDescent="0.25">
      <c r="A1319" s="1" t="str">
        <f>IF(List!K1319="","",List!K1319)</f>
        <v/>
      </c>
    </row>
    <row r="1320" spans="1:1" hidden="1" x14ac:dyDescent="0.25">
      <c r="A1320" s="1" t="str">
        <f>IF(List!K1320="","",List!K1320)</f>
        <v/>
      </c>
    </row>
    <row r="1321" spans="1:1" hidden="1" x14ac:dyDescent="0.25">
      <c r="A1321" s="1" t="str">
        <f>IF(List!K1321="","",List!K1321)</f>
        <v/>
      </c>
    </row>
    <row r="1322" spans="1:1" hidden="1" x14ac:dyDescent="0.25">
      <c r="A1322" s="1" t="str">
        <f>IF(List!K1322="","",List!K1322)</f>
        <v/>
      </c>
    </row>
    <row r="1323" spans="1:1" hidden="1" x14ac:dyDescent="0.25">
      <c r="A1323" s="1" t="str">
        <f>IF(List!K1323="","",List!K1323)</f>
        <v/>
      </c>
    </row>
    <row r="1324" spans="1:1" hidden="1" x14ac:dyDescent="0.25">
      <c r="A1324" s="1" t="str">
        <f>IF(List!K1324="","",List!K1324)</f>
        <v/>
      </c>
    </row>
    <row r="1325" spans="1:1" hidden="1" x14ac:dyDescent="0.25">
      <c r="A1325" s="1" t="str">
        <f>IF(List!K1325="","",List!K1325)</f>
        <v/>
      </c>
    </row>
    <row r="1326" spans="1:1" hidden="1" x14ac:dyDescent="0.25">
      <c r="A1326" s="1" t="str">
        <f>IF(List!K1326="","",List!K1326)</f>
        <v/>
      </c>
    </row>
    <row r="1327" spans="1:1" hidden="1" x14ac:dyDescent="0.25">
      <c r="A1327" s="1" t="str">
        <f>IF(List!K1327="","",List!K1327)</f>
        <v/>
      </c>
    </row>
    <row r="1328" spans="1:1" hidden="1" x14ac:dyDescent="0.25">
      <c r="A1328" s="1" t="str">
        <f>IF(List!K1328="","",List!K1328)</f>
        <v/>
      </c>
    </row>
    <row r="1329" spans="1:1" hidden="1" x14ac:dyDescent="0.25">
      <c r="A1329" s="1" t="str">
        <f>IF(List!K1329="","",List!K1329)</f>
        <v/>
      </c>
    </row>
    <row r="1330" spans="1:1" hidden="1" x14ac:dyDescent="0.25">
      <c r="A1330" s="1" t="str">
        <f>IF(List!K1330="","",List!K1330)</f>
        <v/>
      </c>
    </row>
    <row r="1331" spans="1:1" hidden="1" x14ac:dyDescent="0.25">
      <c r="A1331" s="1" t="str">
        <f>IF(List!K1331="","",List!K1331)</f>
        <v/>
      </c>
    </row>
    <row r="1332" spans="1:1" hidden="1" x14ac:dyDescent="0.25">
      <c r="A1332" s="1" t="str">
        <f>IF(List!K1332="","",List!K1332)</f>
        <v/>
      </c>
    </row>
    <row r="1333" spans="1:1" hidden="1" x14ac:dyDescent="0.25">
      <c r="A1333" s="1" t="str">
        <f>IF(List!K1333="","",List!K1333)</f>
        <v/>
      </c>
    </row>
    <row r="1334" spans="1:1" hidden="1" x14ac:dyDescent="0.25">
      <c r="A1334" s="1" t="str">
        <f>IF(List!K1334="","",List!K1334)</f>
        <v/>
      </c>
    </row>
    <row r="1335" spans="1:1" hidden="1" x14ac:dyDescent="0.25">
      <c r="A1335" s="1" t="str">
        <f>IF(List!K1335="","",List!K1335)</f>
        <v/>
      </c>
    </row>
    <row r="1336" spans="1:1" hidden="1" x14ac:dyDescent="0.25">
      <c r="A1336" s="1" t="str">
        <f>IF(List!K1336="","",List!K1336)</f>
        <v/>
      </c>
    </row>
    <row r="1337" spans="1:1" hidden="1" x14ac:dyDescent="0.25">
      <c r="A1337" s="1" t="str">
        <f>IF(List!K1337="","",List!K1337)</f>
        <v/>
      </c>
    </row>
    <row r="1338" spans="1:1" hidden="1" x14ac:dyDescent="0.25">
      <c r="A1338" s="1" t="str">
        <f>IF(List!K1338="","",List!K1338)</f>
        <v/>
      </c>
    </row>
    <row r="1339" spans="1:1" hidden="1" x14ac:dyDescent="0.25">
      <c r="A1339" s="1" t="str">
        <f>IF(List!K1339="","",List!K1339)</f>
        <v/>
      </c>
    </row>
    <row r="1340" spans="1:1" hidden="1" x14ac:dyDescent="0.25">
      <c r="A1340" s="1" t="str">
        <f>IF(List!K1340="","",List!K1340)</f>
        <v/>
      </c>
    </row>
    <row r="1341" spans="1:1" hidden="1" x14ac:dyDescent="0.25">
      <c r="A1341" s="1" t="str">
        <f>IF(List!K1341="","",List!K1341)</f>
        <v/>
      </c>
    </row>
    <row r="1342" spans="1:1" hidden="1" x14ac:dyDescent="0.25">
      <c r="A1342" s="1" t="str">
        <f>IF(List!K1342="","",List!K1342)</f>
        <v/>
      </c>
    </row>
    <row r="1343" spans="1:1" hidden="1" x14ac:dyDescent="0.25">
      <c r="A1343" s="1" t="str">
        <f>IF(List!K1343="","",List!K1343)</f>
        <v/>
      </c>
    </row>
    <row r="1344" spans="1:1" hidden="1" x14ac:dyDescent="0.25">
      <c r="A1344" s="1" t="str">
        <f>IF(List!K1344="","",List!K1344)</f>
        <v/>
      </c>
    </row>
    <row r="1345" spans="1:1" hidden="1" x14ac:dyDescent="0.25">
      <c r="A1345" s="1" t="str">
        <f>IF(List!K1345="","",List!K1345)</f>
        <v/>
      </c>
    </row>
    <row r="1346" spans="1:1" hidden="1" x14ac:dyDescent="0.25">
      <c r="A1346" s="1" t="str">
        <f>IF(List!K1346="","",List!K1346)</f>
        <v/>
      </c>
    </row>
    <row r="1347" spans="1:1" hidden="1" x14ac:dyDescent="0.25">
      <c r="A1347" s="1" t="str">
        <f>IF(List!K1347="","",List!K1347)</f>
        <v/>
      </c>
    </row>
    <row r="1348" spans="1:1" hidden="1" x14ac:dyDescent="0.25">
      <c r="A1348" s="1" t="str">
        <f>IF(List!K1348="","",List!K1348)</f>
        <v/>
      </c>
    </row>
    <row r="1349" spans="1:1" hidden="1" x14ac:dyDescent="0.25">
      <c r="A1349" s="1" t="str">
        <f>IF(List!K1349="","",List!K1349)</f>
        <v/>
      </c>
    </row>
    <row r="1350" spans="1:1" hidden="1" x14ac:dyDescent="0.25">
      <c r="A1350" s="1" t="str">
        <f>IF(List!K1350="","",List!K1350)</f>
        <v/>
      </c>
    </row>
    <row r="1351" spans="1:1" hidden="1" x14ac:dyDescent="0.25">
      <c r="A1351" s="1" t="str">
        <f>IF(List!K1351="","",List!K1351)</f>
        <v/>
      </c>
    </row>
    <row r="1352" spans="1:1" hidden="1" x14ac:dyDescent="0.25">
      <c r="A1352" s="1" t="str">
        <f>IF(List!K1352="","",List!K1352)</f>
        <v/>
      </c>
    </row>
    <row r="1353" spans="1:1" hidden="1" x14ac:dyDescent="0.25">
      <c r="A1353" s="1" t="str">
        <f>IF(List!K1353="","",List!K1353)</f>
        <v/>
      </c>
    </row>
    <row r="1354" spans="1:1" hidden="1" x14ac:dyDescent="0.25">
      <c r="A1354" s="1" t="str">
        <f>IF(List!K1354="","",List!K1354)</f>
        <v/>
      </c>
    </row>
    <row r="1355" spans="1:1" hidden="1" x14ac:dyDescent="0.25">
      <c r="A1355" s="1" t="str">
        <f>IF(List!K1355="","",List!K1355)</f>
        <v/>
      </c>
    </row>
    <row r="1356" spans="1:1" hidden="1" x14ac:dyDescent="0.25">
      <c r="A1356" s="1" t="str">
        <f>IF(List!K1356="","",List!K1356)</f>
        <v/>
      </c>
    </row>
    <row r="1357" spans="1:1" hidden="1" x14ac:dyDescent="0.25">
      <c r="A1357" s="1" t="str">
        <f>IF(List!K1357="","",List!K1357)</f>
        <v/>
      </c>
    </row>
    <row r="1358" spans="1:1" hidden="1" x14ac:dyDescent="0.25">
      <c r="A1358" s="1" t="str">
        <f>IF(List!K1358="","",List!K1358)</f>
        <v/>
      </c>
    </row>
    <row r="1359" spans="1:1" hidden="1" x14ac:dyDescent="0.25">
      <c r="A1359" s="1" t="str">
        <f>IF(List!K1359="","",List!K1359)</f>
        <v/>
      </c>
    </row>
    <row r="1360" spans="1:1" hidden="1" x14ac:dyDescent="0.25">
      <c r="A1360" s="1" t="str">
        <f>IF(List!K1360="","",List!K1360)</f>
        <v/>
      </c>
    </row>
    <row r="1361" spans="1:1" hidden="1" x14ac:dyDescent="0.25">
      <c r="A1361" s="1" t="str">
        <f>IF(List!K1361="","",List!K1361)</f>
        <v/>
      </c>
    </row>
    <row r="1362" spans="1:1" hidden="1" x14ac:dyDescent="0.25">
      <c r="A1362" s="1" t="str">
        <f>IF(List!K1362="","",List!K1362)</f>
        <v/>
      </c>
    </row>
    <row r="1363" spans="1:1" hidden="1" x14ac:dyDescent="0.25">
      <c r="A1363" s="1" t="str">
        <f>IF(List!K1363="","",List!K1363)</f>
        <v/>
      </c>
    </row>
    <row r="1364" spans="1:1" hidden="1" x14ac:dyDescent="0.25">
      <c r="A1364" s="1" t="str">
        <f>IF(List!K1364="","",List!K1364)</f>
        <v/>
      </c>
    </row>
    <row r="1365" spans="1:1" hidden="1" x14ac:dyDescent="0.25">
      <c r="A1365" s="1" t="str">
        <f>IF(List!K1365="","",List!K1365)</f>
        <v/>
      </c>
    </row>
    <row r="1366" spans="1:1" hidden="1" x14ac:dyDescent="0.25">
      <c r="A1366" s="1" t="str">
        <f>IF(List!K1366="","",List!K1366)</f>
        <v/>
      </c>
    </row>
    <row r="1367" spans="1:1" hidden="1" x14ac:dyDescent="0.25">
      <c r="A1367" s="1" t="str">
        <f>IF(List!K1367="","",List!K1367)</f>
        <v/>
      </c>
    </row>
    <row r="1368" spans="1:1" hidden="1" x14ac:dyDescent="0.25">
      <c r="A1368" s="1" t="str">
        <f>IF(List!K1368="","",List!K1368)</f>
        <v/>
      </c>
    </row>
    <row r="1369" spans="1:1" hidden="1" x14ac:dyDescent="0.25">
      <c r="A1369" s="1" t="str">
        <f>IF(List!K1369="","",List!K1369)</f>
        <v/>
      </c>
    </row>
    <row r="1370" spans="1:1" hidden="1" x14ac:dyDescent="0.25">
      <c r="A1370" s="1" t="str">
        <f>IF(List!K1370="","",List!K1370)</f>
        <v/>
      </c>
    </row>
    <row r="1371" spans="1:1" hidden="1" x14ac:dyDescent="0.25">
      <c r="A1371" s="1" t="str">
        <f>IF(List!K1371="","",List!K1371)</f>
        <v/>
      </c>
    </row>
    <row r="1372" spans="1:1" hidden="1" x14ac:dyDescent="0.25">
      <c r="A1372" s="1" t="str">
        <f>IF(List!K1372="","",List!K1372)</f>
        <v/>
      </c>
    </row>
    <row r="1373" spans="1:1" hidden="1" x14ac:dyDescent="0.25">
      <c r="A1373" s="1" t="str">
        <f>IF(List!K1373="","",List!K1373)</f>
        <v/>
      </c>
    </row>
    <row r="1374" spans="1:1" hidden="1" x14ac:dyDescent="0.25">
      <c r="A1374" s="1" t="str">
        <f>IF(List!K1374="","",List!K1374)</f>
        <v/>
      </c>
    </row>
    <row r="1375" spans="1:1" hidden="1" x14ac:dyDescent="0.25">
      <c r="A1375" s="1" t="str">
        <f>IF(List!K1375="","",List!K1375)</f>
        <v/>
      </c>
    </row>
    <row r="1376" spans="1:1" hidden="1" x14ac:dyDescent="0.25">
      <c r="A1376" s="1" t="str">
        <f>IF(List!K1376="","",List!K1376)</f>
        <v/>
      </c>
    </row>
    <row r="1377" spans="1:1" hidden="1" x14ac:dyDescent="0.25">
      <c r="A1377" s="1" t="str">
        <f>IF(List!K1377="","",List!K1377)</f>
        <v/>
      </c>
    </row>
    <row r="1378" spans="1:1" hidden="1" x14ac:dyDescent="0.25">
      <c r="A1378" s="1" t="str">
        <f>IF(List!K1378="","",List!K1378)</f>
        <v/>
      </c>
    </row>
    <row r="1379" spans="1:1" hidden="1" x14ac:dyDescent="0.25">
      <c r="A1379" s="1" t="str">
        <f>IF(List!K1379="","",List!K1379)</f>
        <v/>
      </c>
    </row>
    <row r="1380" spans="1:1" hidden="1" x14ac:dyDescent="0.25">
      <c r="A1380" s="1" t="str">
        <f>IF(List!K1380="","",List!K1380)</f>
        <v/>
      </c>
    </row>
    <row r="1381" spans="1:1" hidden="1" x14ac:dyDescent="0.25">
      <c r="A1381" s="1" t="str">
        <f>IF(List!K1381="","",List!K1381)</f>
        <v/>
      </c>
    </row>
  </sheetData>
  <autoFilter ref="A1:A1381" xr:uid="{C452A4DA-9994-4B24-9C1D-66621387D3A4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C28A-7C04-4E46-87F4-A147AF0C07AF}">
  <dimension ref="A1:E25"/>
  <sheetViews>
    <sheetView zoomScale="130" zoomScaleNormal="130" workbookViewId="0">
      <selection activeCell="G22" sqref="G22"/>
    </sheetView>
  </sheetViews>
  <sheetFormatPr defaultRowHeight="15" x14ac:dyDescent="0.25"/>
  <cols>
    <col min="1" max="1" width="41.5703125" bestFit="1" customWidth="1"/>
    <col min="2" max="2" width="38.42578125" bestFit="1" customWidth="1"/>
    <col min="3" max="3" width="38.140625" bestFit="1" customWidth="1"/>
  </cols>
  <sheetData>
    <row r="1" spans="1:5" x14ac:dyDescent="0.25">
      <c r="A1" t="s">
        <v>1530</v>
      </c>
      <c r="B1" t="s">
        <v>1531</v>
      </c>
      <c r="C1" t="s">
        <v>1532</v>
      </c>
    </row>
    <row r="2" spans="1:5" x14ac:dyDescent="0.25">
      <c r="A2" t="s">
        <v>1533</v>
      </c>
      <c r="B2" t="s">
        <v>0</v>
      </c>
      <c r="C2" t="s">
        <v>2</v>
      </c>
      <c r="D2" t="s">
        <v>1</v>
      </c>
      <c r="E2" t="s">
        <v>3</v>
      </c>
    </row>
    <row r="3" spans="1:5" x14ac:dyDescent="0.25">
      <c r="A3" t="s">
        <v>1534</v>
      </c>
      <c r="B3" t="s">
        <v>4</v>
      </c>
      <c r="C3" t="s">
        <v>324</v>
      </c>
      <c r="D3" t="s">
        <v>5</v>
      </c>
      <c r="E3" t="s">
        <v>325</v>
      </c>
    </row>
    <row r="4" spans="1:5" x14ac:dyDescent="0.25">
      <c r="A4" t="s">
        <v>1535</v>
      </c>
      <c r="B4" t="s">
        <v>326</v>
      </c>
      <c r="C4" t="s">
        <v>330</v>
      </c>
      <c r="D4" t="s">
        <v>327</v>
      </c>
      <c r="E4" t="s">
        <v>331</v>
      </c>
    </row>
    <row r="5" spans="1:5" x14ac:dyDescent="0.25">
      <c r="A5" t="s">
        <v>1536</v>
      </c>
      <c r="B5" t="s">
        <v>332</v>
      </c>
      <c r="C5" t="s">
        <v>384</v>
      </c>
      <c r="D5" t="s">
        <v>333</v>
      </c>
      <c r="E5" t="s">
        <v>385</v>
      </c>
    </row>
    <row r="6" spans="1:5" x14ac:dyDescent="0.25">
      <c r="A6" t="s">
        <v>1537</v>
      </c>
      <c r="B6" t="s">
        <v>386</v>
      </c>
      <c r="C6" t="s">
        <v>422</v>
      </c>
      <c r="D6" t="s">
        <v>387</v>
      </c>
      <c r="E6" t="s">
        <v>423</v>
      </c>
    </row>
    <row r="7" spans="1:5" x14ac:dyDescent="0.25">
      <c r="A7" t="s">
        <v>1538</v>
      </c>
      <c r="B7" t="s">
        <v>424</v>
      </c>
      <c r="C7" t="s">
        <v>438</v>
      </c>
      <c r="D7" t="s">
        <v>425</v>
      </c>
      <c r="E7" t="s">
        <v>439</v>
      </c>
    </row>
    <row r="8" spans="1:5" x14ac:dyDescent="0.25">
      <c r="A8" t="s">
        <v>1539</v>
      </c>
      <c r="B8" t="s">
        <v>440</v>
      </c>
      <c r="C8" t="s">
        <v>452</v>
      </c>
      <c r="D8" t="s">
        <v>441</v>
      </c>
      <c r="E8" t="s">
        <v>453</v>
      </c>
    </row>
    <row r="9" spans="1:5" x14ac:dyDescent="0.25">
      <c r="A9" t="s">
        <v>1540</v>
      </c>
      <c r="B9" t="s">
        <v>454</v>
      </c>
      <c r="C9" t="s">
        <v>522</v>
      </c>
      <c r="D9" t="s">
        <v>455</v>
      </c>
      <c r="E9" t="s">
        <v>523</v>
      </c>
    </row>
    <row r="10" spans="1:5" x14ac:dyDescent="0.25">
      <c r="A10" t="s">
        <v>1541</v>
      </c>
      <c r="B10" t="s">
        <v>524</v>
      </c>
      <c r="C10" t="s">
        <v>810</v>
      </c>
      <c r="D10" t="s">
        <v>525</v>
      </c>
      <c r="E10" t="s">
        <v>811</v>
      </c>
    </row>
    <row r="11" spans="1:5" x14ac:dyDescent="0.25">
      <c r="A11" t="s">
        <v>1542</v>
      </c>
      <c r="B11" t="s">
        <v>812</v>
      </c>
      <c r="C11" t="s">
        <v>828</v>
      </c>
      <c r="D11" t="s">
        <v>813</v>
      </c>
      <c r="E11" t="s">
        <v>829</v>
      </c>
    </row>
    <row r="12" spans="1:5" x14ac:dyDescent="0.25">
      <c r="A12" t="s">
        <v>1543</v>
      </c>
      <c r="B12" t="s">
        <v>830</v>
      </c>
      <c r="C12" t="s">
        <v>892</v>
      </c>
      <c r="D12" t="s">
        <v>831</v>
      </c>
      <c r="E12" t="s">
        <v>893</v>
      </c>
    </row>
    <row r="13" spans="1:5" x14ac:dyDescent="0.25">
      <c r="A13" t="s">
        <v>1544</v>
      </c>
      <c r="B13" t="s">
        <v>894</v>
      </c>
      <c r="C13" t="s">
        <v>956</v>
      </c>
    </row>
    <row r="14" spans="1:5" x14ac:dyDescent="0.25">
      <c r="A14" t="s">
        <v>1545</v>
      </c>
      <c r="B14" t="s">
        <v>958</v>
      </c>
      <c r="C14" t="s">
        <v>986</v>
      </c>
    </row>
    <row r="15" spans="1:5" x14ac:dyDescent="0.25">
      <c r="A15" t="s">
        <v>1546</v>
      </c>
      <c r="B15" t="s">
        <v>988</v>
      </c>
      <c r="C15" t="s">
        <v>994</v>
      </c>
    </row>
    <row r="16" spans="1:5" x14ac:dyDescent="0.25">
      <c r="A16" t="s">
        <v>1547</v>
      </c>
      <c r="B16" t="s">
        <v>996</v>
      </c>
      <c r="C16" t="s">
        <v>1058</v>
      </c>
      <c r="D16" t="s">
        <v>997</v>
      </c>
      <c r="E16" t="s">
        <v>1059</v>
      </c>
    </row>
    <row r="17" spans="1:5" x14ac:dyDescent="0.25">
      <c r="A17" t="s">
        <v>1548</v>
      </c>
      <c r="B17" t="s">
        <v>1060</v>
      </c>
      <c r="C17" t="s">
        <v>1088</v>
      </c>
    </row>
    <row r="18" spans="1:5" x14ac:dyDescent="0.25">
      <c r="A18" t="s">
        <v>1549</v>
      </c>
      <c r="B18" t="s">
        <v>1090</v>
      </c>
      <c r="C18" t="s">
        <v>1102</v>
      </c>
    </row>
    <row r="19" spans="1:5" x14ac:dyDescent="0.25">
      <c r="A19" t="s">
        <v>1550</v>
      </c>
      <c r="B19" t="s">
        <v>1104</v>
      </c>
      <c r="C19" t="s">
        <v>1124</v>
      </c>
    </row>
    <row r="20" spans="1:5" x14ac:dyDescent="0.25">
      <c r="A20" t="s">
        <v>1551</v>
      </c>
      <c r="B20" t="s">
        <v>1126</v>
      </c>
      <c r="C20" t="s">
        <v>1146</v>
      </c>
    </row>
    <row r="21" spans="1:5" x14ac:dyDescent="0.25">
      <c r="A21" t="s">
        <v>1552</v>
      </c>
      <c r="B21" t="s">
        <v>1148</v>
      </c>
      <c r="C21" t="s">
        <v>1166</v>
      </c>
    </row>
    <row r="22" spans="1:5" x14ac:dyDescent="0.25">
      <c r="A22" t="s">
        <v>1553</v>
      </c>
      <c r="B22" t="s">
        <v>1168</v>
      </c>
      <c r="C22" t="s">
        <v>1196</v>
      </c>
    </row>
    <row r="23" spans="1:5" x14ac:dyDescent="0.25">
      <c r="A23" t="s">
        <v>1554</v>
      </c>
      <c r="B23" t="s">
        <v>1198</v>
      </c>
      <c r="C23" t="s">
        <v>1342</v>
      </c>
      <c r="D23" t="s">
        <v>1199</v>
      </c>
      <c r="E23" t="s">
        <v>1343</v>
      </c>
    </row>
    <row r="24" spans="1:5" x14ac:dyDescent="0.25">
      <c r="A24" t="s">
        <v>1555</v>
      </c>
      <c r="B24" t="s">
        <v>1344</v>
      </c>
      <c r="C24" t="s">
        <v>1406</v>
      </c>
    </row>
    <row r="25" spans="1:5" x14ac:dyDescent="0.25">
      <c r="A25" t="s">
        <v>1556</v>
      </c>
      <c r="B25" t="s">
        <v>1408</v>
      </c>
      <c r="C25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Filtered</vt:lpstr>
      <vt:lpstr>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2026-07-01T06:22:52Z</dcterms:created>
  <dcterms:modified xsi:type="dcterms:W3CDTF">2026-09-20T16:37:39Z</dcterms:modified>
</cp:coreProperties>
</file>